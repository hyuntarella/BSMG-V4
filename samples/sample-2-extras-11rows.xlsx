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(2)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<sst xmlns="http://schemas.openxmlformats.org/spreadsheetml/2006/main" count="107" uniqueCount="68">
  <si>
    <t xml:space="preserve">       견 적 서</t>
  </si>
  <si>
    <t>공급자</t>
  </si>
  <si>
    <t xml:space="preserve">  관리번호</t>
  </si>
  <si>
    <t>B-2026-0413-SAMPLE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</si>
  <si>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</si>
  <si>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</si>
  <si>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</si>
  <si>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</si>
  <si>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</si>
  <si>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</si>
  <si>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</si>
  <si>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>2026-04-13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</si>
  <si>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</si>
  <si>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</si>
  <si>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</si>
  <si>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</si>
  <si>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</si>
  <si>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>방수명가 샘플 고객 귀하</t>
  </si>
  <si>
    <t xml:space="preserve">  전화번호</t>
  </si>
  <si>
    <t>010.5379.3587</t>
  </si>
  <si>
    <t xml:space="preserve">  FAX</t>
  </si>
  <si>
    <t>02.3012.3587</t>
  </si>
  <si>
    <t xml:space="preserve">  공 사 명</t>
  </si>
  <si>
    <t>테스트 현장 아파트 옥상 방수공사</t>
  </si>
  <si>
    <t xml:space="preserve">  사업장 주소</t>
  </si>
  <si>
    <t xml:space="preserve">공사금액
(부가세 별도)</t>
  </si>
  <si>
    <t>일금 이천사백팔십만원 정(₩24,800,000)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</si>
  <si>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</si>
  <si>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</si>
  <si>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</si>
  <si>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</si>
  <si>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</si>
  <si>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</si>
  <si>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</si>
  <si>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</si>
  <si>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정리</t>
    </r>
    <r>
      <rPr>
        <color theme="1"/>
        <sz val="12"/>
        <rFont val="Arial"/>
      </rPr>
      <t>)</t>
    </r>
  </si>
  <si>
    <r>
      <rPr>
        <b/>
        <color theme="1"/>
        <sz val="12"/>
        <rFont val="Arial"/>
      </rPr>
      <t xml:space="preserve">
  </t>
    </r>
    <r>
      <rPr>
        <b/>
        <color theme="1"/>
        <sz val="12"/>
        <rFont val="맑은 고딕"/>
      </rPr>
      <t>특기사항</t>
    </r>
  </si>
  <si>
    <t xml:space="preserve">  1. 하자보수기간 5년 (하자이행증권 3년)
  2. 견적서 제출 30일 유효
  3. 2026년 봄 방수공사 샘플 메모</t>
  </si>
  <si>
    <t>Brand Collaborations</t>
  </si>
  <si>
    <t>공 사 명</t>
  </si>
  <si>
    <t>테스트 현장 아파트 옥상 방수공사 이중복합방수 3.8mm (제 1안)</t>
  </si>
  <si>
    <t>단 위</t>
  </si>
  <si>
    <t>재 료 비</t>
  </si>
  <si>
    <t>인 건 비</t>
  </si>
  <si>
    <t>경 비</t>
  </si>
  <si>
    <r>
      <rPr>
        <b/>
        <color theme="0"/>
        <sz val="12"/>
        <rFont val="맑은 고딕"/>
      </rPr>
      <t>합</t>
    </r>
    <r>
      <rPr>
        <b/>
        <color theme="0"/>
        <sz val="12"/>
        <rFont val="Arial"/>
      </rPr>
      <t xml:space="preserve"> </t>
    </r>
    <r>
      <rPr>
        <b/>
        <color theme="0"/>
        <sz val="12"/>
        <rFont val="맑은 고딕"/>
      </rPr>
      <t>계</t>
    </r>
  </si>
  <si>
    <t>프라이머 도포</t>
  </si>
  <si>
    <t>3.8mm</t>
  </si>
  <si>
    <t>m²</t>
  </si>
  <si>
    <t>이중복합시트 3.8mm</t>
  </si>
  <si>
    <t>줄눈·크랙 실란트 보강포</t>
  </si>
  <si>
    <t>중도 1mm(2회)</t>
  </si>
  <si>
    <t>상도 우레탄 노출마감</t>
  </si>
  <si>
    <t>벽체 우레탄</t>
  </si>
  <si>
    <t>우레탄 상도</t>
  </si>
  <si>
    <t>바탕조정제</t>
  </si>
  <si>
    <t>사다리차</t>
  </si>
  <si>
    <t>일</t>
  </si>
  <si>
    <t/>
  </si>
  <si>
    <t>폐기물처리비</t>
  </si>
  <si>
    <t>드라이비트 하부절개(2층 외벽)</t>
  </si>
  <si>
    <r>
      <rPr>
        <color theme="1"/>
        <sz val="12"/>
        <rFont val="맑은 고딕"/>
      </rPr>
      <t>소</t>
    </r>
    <r>
      <rPr>
        <color theme="1"/>
        <sz val="12"/>
        <rFont val="Arial"/>
      </rPr>
      <t xml:space="preserve">       </t>
    </r>
    <r>
      <rPr>
        <color theme="1"/>
        <sz val="12"/>
        <rFont val="맑은 고딕"/>
      </rPr>
      <t>계</t>
    </r>
    <r>
      <rPr>
        <color theme="1"/>
        <sz val="12"/>
        <rFont val="Arial"/>
      </rPr>
      <t xml:space="preserve"> </t>
    </r>
  </si>
  <si>
    <r>
      <rPr>
        <color theme="1"/>
        <sz val="12"/>
        <rFont val="맑은 고딕"/>
      </rPr>
      <t>공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과</t>
    </r>
    <r>
      <rPr>
        <color theme="1"/>
        <sz val="12"/>
        <rFont val="Arial"/>
      </rPr>
      <t xml:space="preserve">   </t>
    </r>
    <r>
      <rPr>
        <color theme="1"/>
        <sz val="12"/>
        <rFont val="맑은 고딕"/>
      </rPr>
      <t>잡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비</t>
    </r>
    <r>
      <rPr>
        <color theme="1"/>
        <sz val="12"/>
        <rFont val="Arial"/>
      </rPr>
      <t xml:space="preserve">, 
</t>
    </r>
    <r>
      <rPr>
        <color theme="1"/>
        <sz val="12"/>
        <rFont val="맑은 고딕"/>
      </rPr>
      <t>안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전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관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리</t>
    </r>
    <r>
      <rPr>
        <color theme="1"/>
        <sz val="12"/>
        <rFont val="Arial"/>
      </rPr>
      <t xml:space="preserve"> </t>
    </r>
    <r>
      <rPr>
        <color theme="1"/>
        <sz val="12"/>
        <rFont val="맑은 고딕"/>
      </rPr>
      <t>비</t>
    </r>
  </si>
  <si>
    <t>%</t>
  </si>
  <si>
    <r>
      <rPr>
        <color theme="1"/>
        <sz val="12"/>
        <rFont val="맑은 고딕"/>
      </rPr>
      <t>기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업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이</t>
    </r>
    <r>
      <rPr>
        <color theme="1"/>
        <sz val="12"/>
        <rFont val="Arial"/>
      </rPr>
      <t xml:space="preserve">  </t>
    </r>
    <r>
      <rPr>
        <color theme="1"/>
        <sz val="12"/>
        <rFont val="맑은 고딕"/>
      </rPr>
      <t>윤</t>
    </r>
  </si>
  <si>
    <r>
      <rPr>
        <color theme="1"/>
        <sz val="12"/>
        <rFont val="맑은 고딕"/>
      </rPr>
      <t>계</t>
    </r>
  </si>
  <si>
    <r>
      <rPr>
        <b/>
        <color theme="1"/>
        <sz val="12"/>
        <rFont val="맑은 고딕"/>
      </rPr>
      <t>합</t>
    </r>
    <r>
      <rPr>
        <b/>
        <color theme="1"/>
        <sz val="12"/>
        <rFont val="Arial"/>
      </rPr>
      <t xml:space="preserve">       </t>
    </r>
    <r>
      <rPr>
        <b/>
        <color theme="1"/>
        <sz val="12"/>
        <rFont val="맑은 고딕"/>
      </rPr>
      <t>계</t>
    </r>
  </si>
  <si>
    <r>
      <rPr>
        <color theme="1"/>
        <sz val="12"/>
        <rFont val="Arial"/>
      </rPr>
      <t>(</t>
    </r>
    <r>
      <rPr>
        <color theme="1"/>
        <sz val="12"/>
        <rFont val="맑은 고딕"/>
      </rPr>
      <t>단수정리</t>
    </r>
    <r>
      <rPr>
        <color theme="1"/>
        <sz val="12"/>
        <rFont val="Arial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</si>
</sst>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년&quot; m&quot;월&quot; d&quot;일&quot;"/>
    <numFmt numFmtId="165" formatCode="[DBNum4]&quot;일금&quot;[$-412]General&quot;원정&quot;"/>
    <numFmt numFmtId="166" formatCode="#,##0;-#,##0;"/>
  </numFmts>
  <fonts count="13" x14ac:knownFonts="1">
    <font>
      <color theme="1"/>
      <family val="2"/>
      <scheme val="minor"/>
      <sz val="11"/>
      <name val="Calibri"/>
    </font>
    <font>
      <color theme="1"/>
      <sz val="11"/>
      <name val="Arial"/>
    </font>
    <font>
      <b/>
      <color rgb="FF000000"/>
      <sz val="26"/>
      <name val="Arial"/>
    </font>
    <font>
      <b/>
      <color theme="1"/>
      <sz val="11"/>
      <name val="Arial"/>
    </font>
    <font>
      <b/>
      <color rgb="FFFFFFFF"/>
      <sz val="12"/>
      <name val="Arial"/>
    </font>
    <font>
      <color theme="1"/>
      <sz val="12"/>
      <name val="Arial"/>
    </font>
    <font>
      <b/>
      <color theme="1"/>
      <sz val="12"/>
      <name val="Arial"/>
    </font>
    <font>
      <b/>
      <color theme="0"/>
      <sz val="12"/>
      <name val="Arial"/>
    </font>
    <font>
      <b/>
      <color theme="1"/>
      <sz val="16"/>
      <name val="Arial"/>
    </font>
    <font>
      <b/>
      <color rgb="FFB7B7B7"/>
      <sz val="11"/>
      <name val="Arial"/>
    </font>
    <font>
      <b/>
      <color theme="0"/>
      <sz val="11"/>
      <name val="Arial"/>
    </font>
    <font/>
    <font>
      <color theme="1"/>
      <sz val="12"/>
      <name val="Malgun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42">
    <border>
      <left/>
      <right/>
      <top/>
      <bottom/>
      <diagonal/>
    </border>
    <border>
      <left/>
      <right/>
      <top style="thick">
        <color rgb="FF000000"/>
      </top>
      <bottom style="thin">
        <color rgb="FF747474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CCCCCC"/>
      </bottom>
      <diagonal/>
    </border>
    <border>
      <left/>
      <right/>
      <top style="thin">
        <color rgb="FF747474"/>
      </top>
      <bottom style="thin">
        <color rgb="FF74747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525979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 style="thin">
        <color rgb="FFB7B7B7"/>
      </bottom>
      <diagonal/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  <diagonal/>
    </border>
    <border>
      <left style="thin">
        <color rgb="FF747474"/>
      </left>
      <right/>
      <top style="thick">
        <color rgb="FF000000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 style="thin">
        <color rgb="FFB7B7B7"/>
      </left>
      <right style="thin">
        <color rgb="FF747474"/>
      </right>
      <top style="thick">
        <color rgb="FF000000"/>
      </top>
      <bottom/>
      <diagonal/>
    </border>
    <border>
      <left style="thin">
        <color rgb="FF747474"/>
      </left>
      <right style="thin">
        <color rgb="FF747474"/>
      </right>
      <top style="thick">
        <color rgb="FF000000"/>
      </top>
      <bottom/>
      <diagonal/>
    </border>
    <border>
      <left/>
      <right style="thin">
        <color rgb="FF747474"/>
      </right>
      <top style="thick">
        <color rgb="FF000000"/>
      </top>
      <bottom/>
      <diagonal/>
    </border>
    <border>
      <left style="thin">
        <color rgb="FF747474"/>
      </left>
      <right/>
      <top style="thick">
        <color rgb="FF000000"/>
      </top>
      <bottom style="thin">
        <color rgb="FF747474"/>
      </bottom>
      <diagonal/>
    </border>
    <border>
      <left/>
      <right style="thin">
        <color rgb="FF747474"/>
      </right>
      <top style="thick">
        <color rgb="FF000000"/>
      </top>
      <bottom style="thin">
        <color rgb="FF747474"/>
      </bottom>
      <diagonal/>
    </border>
    <border>
      <left style="thin">
        <color rgb="FFB7B7B7"/>
      </left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 style="thin">
        <color rgb="FF747474"/>
      </top>
      <bottom style="thin">
        <color rgb="FF747474"/>
      </bottom>
      <diagonal/>
    </border>
    <border>
      <left/>
      <right style="thin">
        <color rgb="FF747474"/>
      </right>
      <top/>
      <bottom/>
      <diagonal/>
    </border>
    <border>
      <left style="thin">
        <color rgb="FF747474"/>
      </left>
      <right style="thin">
        <color rgb="FF747474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shrinkToFit="1"/>
    </xf>
    <xf numFmtId="0" fontId="6" fillId="0" borderId="0" xfId="0" applyFont="1"/>
    <xf numFmtId="0" fontId="6" fillId="4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164" fontId="5" fillId="0" borderId="7" xfId="0" applyNumberFormat="1" applyFont="1" applyBorder="1" applyAlignment="1">
      <alignment horizontal="left" vertical="center" shrinkToFit="1"/>
    </xf>
    <xf numFmtId="0" fontId="6" fillId="4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shrinkToFit="1"/>
    </xf>
    <xf numFmtId="0" fontId="7" fillId="3" borderId="9" xfId="0" applyFont="1" applyFill="1" applyBorder="1" applyAlignment="1">
      <alignment vertical="center"/>
    </xf>
    <xf numFmtId="0" fontId="5" fillId="0" borderId="10" xfId="0" applyFont="1" applyBorder="1" applyAlignment="1">
      <alignment horizontal="left" vertical="center" shrinkToFit="1"/>
    </xf>
    <xf numFmtId="0" fontId="6" fillId="4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5" fillId="0" borderId="6" xfId="0" applyFont="1" applyBorder="1" applyAlignment="1">
      <alignment horizontal="left" vertical="center" shrinkToFit="1"/>
    </xf>
    <xf numFmtId="0" fontId="7" fillId="2" borderId="0" xfId="0" applyFont="1" applyFill="1" applyAlignment="1">
      <alignment vertical="center"/>
    </xf>
    <xf numFmtId="0" fontId="5" fillId="0" borderId="11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 shrinkToFit="1"/>
    </xf>
    <xf numFmtId="0" fontId="5" fillId="0" borderId="11" xfId="0" applyFont="1" applyBorder="1"/>
    <xf numFmtId="0" fontId="5" fillId="0" borderId="12" xfId="0" applyFont="1" applyBorder="1"/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3" fontId="5" fillId="0" borderId="18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/>
    </xf>
    <xf numFmtId="0" fontId="5" fillId="5" borderId="21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horizontal="right" vertical="center"/>
    </xf>
    <xf numFmtId="0" fontId="6" fillId="0" borderId="23" xfId="0" applyFont="1" applyBorder="1" applyAlignment="1">
      <alignment vertical="top" wrapText="1"/>
    </xf>
    <xf numFmtId="0" fontId="5" fillId="0" borderId="24" xfId="0" applyFont="1" applyBorder="1" applyAlignment="1">
      <alignment horizontal="left" vertical="top" wrapText="1"/>
    </xf>
    <xf numFmtId="0" fontId="9" fillId="0" borderId="8" xfId="0" applyFont="1" applyBorder="1"/>
    <xf numFmtId="0" fontId="9" fillId="0" borderId="0" xfId="0" applyFont="1"/>
    <xf numFmtId="0" fontId="9" fillId="0" borderId="0" xfId="0" applyFont="1" applyAlignment="1">
      <alignment horizontal="right"/>
    </xf>
    <xf numFmtId="0" fontId="10" fillId="3" borderId="2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11" fillId="0" borderId="25" xfId="0" applyFont="1" applyBorder="1"/>
    <xf numFmtId="0" fontId="11" fillId="0" borderId="26" xfId="0" applyFont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1" fillId="0" borderId="29" xfId="0" applyFont="1" applyBorder="1"/>
    <xf numFmtId="0" fontId="7" fillId="3" borderId="30" xfId="0" applyFont="1" applyFill="1" applyBorder="1" applyAlignment="1">
      <alignment horizontal="center" vertical="center"/>
    </xf>
    <xf numFmtId="0" fontId="11" fillId="0" borderId="31" xfId="0" applyFont="1" applyBorder="1"/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166" fontId="5" fillId="0" borderId="40" xfId="0" applyNumberFormat="1" applyFont="1" applyBorder="1" applyAlignment="1">
      <alignment horizontal="center" vertical="center"/>
    </xf>
    <xf numFmtId="3" fontId="5" fillId="2" borderId="40" xfId="0" applyNumberFormat="1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5" fillId="6" borderId="40" xfId="0" applyFont="1" applyFill="1" applyBorder="1" applyAlignment="1">
      <alignment horizontal="center" vertical="center"/>
    </xf>
    <xf numFmtId="3" fontId="5" fillId="6" borderId="40" xfId="0" applyNumberFormat="1" applyFont="1" applyFill="1" applyBorder="1" applyAlignment="1">
      <alignment horizontal="center" vertical="center"/>
    </xf>
    <xf numFmtId="3" fontId="5" fillId="5" borderId="40" xfId="0" applyNumberFormat="1" applyFont="1" applyFill="1" applyBorder="1" applyAlignment="1">
      <alignment horizontal="center" vertical="center"/>
    </xf>
    <xf numFmtId="166" fontId="5" fillId="5" borderId="40" xfId="0" applyNumberFormat="1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/>
    </xf>
    <xf numFmtId="3" fontId="5" fillId="5" borderId="40" xfId="0" applyNumberFormat="1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/>
    </xf>
    <xf numFmtId="3" fontId="6" fillId="5" borderId="40" xfId="0" applyNumberFormat="1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219075</xdr:colOff>
      <xdr:row>20</xdr:row>
      <xdr:rowOff>9524</xdr:rowOff>
    </xdr:from>
    <xdr:ext cx="6562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38100</xdr:colOff>
      <xdr:row>1</xdr:row>
      <xdr:rowOff>161925</xdr:rowOff>
    </xdr:from>
    <xdr:ext cx="144780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85725</xdr:colOff>
      <xdr:row>0</xdr:row>
      <xdr:rowOff>200025</xdr:rowOff>
    </xdr:from>
    <xdr:ext cx="144780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4"/>
  <sheetViews>
    <sheetView workbookViewId="0" zoomScale="100" zoomScaleNormal="100"/>
  </sheetViews>
  <sheetFormatPr defaultRowHeight="15" outlineLevelRow="0" outlineLevelCol="0" x14ac:dyDescent="0" defaultColWidth="12.63"/>
  <cols>
    <col min="1" max="1" width="8" customWidth="1"/>
    <col min="2" max="2" width="9.75" customWidth="1"/>
    <col min="3" max="3" width="0.88" customWidth="1"/>
    <col min="4" max="4" width="3.63" customWidth="1"/>
    <col min="5" max="5" width="31.38" customWidth="1"/>
    <col min="6" max="6" width="2.63" hidden="1" customWidth="1"/>
    <col min="7" max="7" width="6" customWidth="1"/>
    <col min="8" max="8" width="12.38" customWidth="1"/>
    <col min="9" max="9" width="0.88" customWidth="1"/>
    <col min="10" max="10" width="14.13" customWidth="1"/>
    <col min="11" max="11" width="1" customWidth="1"/>
    <col min="12" max="12" width="12.88" customWidth="1"/>
    <col min="13" max="13" width="0.88" customWidth="1"/>
    <col min="14" max="14" width="22" customWidth="1"/>
    <col min="15" max="15" width="6.88" customWidth="1"/>
    <col min="16" max="16" width="0.88" customWidth="1"/>
    <col min="17" max="17" width="8" customWidth="1"/>
    <col min="18" max="18" width="3.25" customWidth="1"/>
    <col min="19" max="37" width="8" customWidth="1"/>
  </cols>
  <sheetData>
    <row r="1" ht="21.75" customHeight="1" spans="1:37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" customHeight="1" spans="1:37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" customHeight="1" spans="1:37" x14ac:dyDescent="0.25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 spans="1:37" x14ac:dyDescent="0.25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" customHeight="1" spans="1:37" x14ac:dyDescent="0.25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" customHeight="1" spans="2:37" x14ac:dyDescent="0.25">
      <c r="B6" s="11" t="s">
        <v>2</v>
      </c>
      <c r="C6" s="12"/>
      <c r="D6" s="13" t="s">
        <v>3</v>
      </c>
      <c r="E6" s="13"/>
      <c r="F6" s="13"/>
      <c r="G6" s="14"/>
      <c r="H6" s="15" t="s">
        <v>4</v>
      </c>
      <c r="I6" s="16"/>
      <c r="J6" s="17" t="s">
        <v>5</v>
      </c>
      <c r="K6" s="17"/>
      <c r="L6" s="15" t="s">
        <v>6</v>
      </c>
      <c r="M6" s="16"/>
      <c r="N6" s="18" t="s">
        <v>7</v>
      </c>
      <c r="O6" s="15" t="s">
        <v>8</v>
      </c>
      <c r="P6" s="16"/>
      <c r="Q6" s="17" t="s">
        <v>9</v>
      </c>
      <c r="R6" s="17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 spans="1:37" x14ac:dyDescent="0.25">
      <c r="A7" s="5"/>
      <c r="B7" s="19" t="s">
        <v>10</v>
      </c>
      <c r="C7" s="20"/>
      <c r="D7" s="21" t="s">
        <v>11</v>
      </c>
      <c r="E7" s="21"/>
      <c r="F7" s="21"/>
      <c r="G7" s="14"/>
      <c r="H7" s="22" t="s">
        <v>12</v>
      </c>
      <c r="I7" s="23"/>
      <c r="J7" s="24" t="s">
        <v>13</v>
      </c>
      <c r="K7" s="24"/>
      <c r="L7" s="22" t="s">
        <v>14</v>
      </c>
      <c r="M7" s="23"/>
      <c r="N7" s="25" t="s">
        <v>15</v>
      </c>
      <c r="O7" s="25"/>
      <c r="P7" s="25"/>
      <c r="Q7" s="25"/>
      <c r="R7" s="25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 spans="1:37" x14ac:dyDescent="0.25">
      <c r="A8" s="5"/>
      <c r="B8" s="19" t="s">
        <v>16</v>
      </c>
      <c r="C8" s="20"/>
      <c r="D8" s="26" t="s">
        <v>17</v>
      </c>
      <c r="E8" s="26"/>
      <c r="F8" s="26"/>
      <c r="G8" s="14"/>
      <c r="H8" s="22" t="s">
        <v>18</v>
      </c>
      <c r="I8" s="23"/>
      <c r="J8" s="24" t="s">
        <v>19</v>
      </c>
      <c r="K8" s="24"/>
      <c r="L8" s="22" t="s">
        <v>20</v>
      </c>
      <c r="M8" s="23"/>
      <c r="N8" s="25" t="s">
        <v>21</v>
      </c>
      <c r="O8" s="25"/>
      <c r="P8" s="25"/>
      <c r="Q8" s="25"/>
      <c r="R8" s="25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 spans="1:37" x14ac:dyDescent="0.25">
      <c r="A9" s="5"/>
      <c r="B9" s="27" t="s">
        <v>22</v>
      </c>
      <c r="C9" s="20"/>
      <c r="D9" s="28" t="s">
        <v>23</v>
      </c>
      <c r="E9" s="28"/>
      <c r="F9" s="28"/>
      <c r="G9" s="14"/>
      <c r="H9" s="29" t="s">
        <v>24</v>
      </c>
      <c r="I9" s="30"/>
      <c r="J9" s="31" t="s">
        <v>23</v>
      </c>
      <c r="K9" s="31"/>
      <c r="L9" s="31"/>
      <c r="M9" s="31"/>
      <c r="N9" s="31"/>
      <c r="O9" s="31"/>
      <c r="P9" s="31"/>
      <c r="Q9" s="31"/>
      <c r="R9" s="3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 spans="1:37" x14ac:dyDescent="0.25">
      <c r="A10" s="5"/>
      <c r="B10" s="32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 spans="1:37" x14ac:dyDescent="0.25">
      <c r="A11" s="5"/>
      <c r="B11" s="34" t="s">
        <v>25</v>
      </c>
      <c r="C11" s="34"/>
      <c r="D11" s="34"/>
      <c r="E11" s="35" t="s">
        <v>26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 spans="1:37" x14ac:dyDescent="0.25">
      <c r="A12" s="1"/>
      <c r="B12" s="36"/>
      <c r="C12" s="36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 spans="1:37" x14ac:dyDescent="0.25">
      <c r="A13" s="1"/>
      <c r="B13" s="38" t="s">
        <v>27</v>
      </c>
      <c r="C13" s="38"/>
      <c r="D13" s="38"/>
      <c r="E13" s="38"/>
      <c r="F13" s="39" t="s">
        <v>28</v>
      </c>
      <c r="G13" s="39"/>
      <c r="H13" s="40" t="s">
        <v>29</v>
      </c>
      <c r="I13" s="41" t="s">
        <v>30</v>
      </c>
      <c r="J13" s="41"/>
      <c r="K13" s="42" t="s">
        <v>31</v>
      </c>
      <c r="L13" s="42"/>
      <c r="M13" s="42"/>
      <c r="N13" s="42"/>
      <c r="O13" s="42" t="s">
        <v>32</v>
      </c>
      <c r="P13" s="42"/>
      <c r="Q13" s="42"/>
      <c r="R13" s="42"/>
      <c r="S13" s="4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 spans="1:37" x14ac:dyDescent="0.25">
      <c r="A14" s="1"/>
      <c r="B14" s="44" t="str">
        <f>Sheet2!C3</f>
        <v>옥상 이중복합방수 3.8mm (제 1안)</v>
      </c>
      <c r="C14" s="44"/>
      <c r="D14" s="44"/>
      <c r="E14" s="44"/>
      <c r="F14" s="44" t="s">
        <v>33</v>
      </c>
      <c r="G14" s="44"/>
      <c r="H14" s="45">
        <v>1</v>
      </c>
      <c r="I14" s="46"/>
      <c r="J14" s="46"/>
      <c r="K14" s="47">
        <v>24888700</v>
      </c>
      <c r="L14" s="47"/>
      <c r="M14" s="47"/>
      <c r="N14" s="47"/>
      <c r="O14" s="48"/>
      <c r="P14" s="48"/>
      <c r="Q14" s="48"/>
      <c r="R14" s="48"/>
      <c r="S14" s="43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7" customHeight="1" spans="1:37" x14ac:dyDescent="0.25">
      <c r="A15" s="1"/>
      <c r="B15" s="49" t="s">
        <v>34</v>
      </c>
      <c r="C15" s="49"/>
      <c r="D15" s="49"/>
      <c r="E15" s="49"/>
      <c r="F15" s="50"/>
      <c r="G15" s="50"/>
      <c r="H15" s="51"/>
      <c r="I15" s="49"/>
      <c r="J15" s="49"/>
      <c r="K15" s="52">
        <v>24800000</v>
      </c>
      <c r="L15" s="52"/>
      <c r="M15" s="52"/>
      <c r="N15" s="52"/>
      <c r="O15" s="49" t="s">
        <v>35</v>
      </c>
      <c r="P15" s="49"/>
      <c r="Q15" s="49"/>
      <c r="R15" s="49"/>
      <c r="S15" s="43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6.25" customHeight="1" spans="1:37" x14ac:dyDescent="0.25">
      <c r="A16" s="1"/>
      <c r="B16" s="53" t="s">
        <v>36</v>
      </c>
      <c r="C16" s="53"/>
      <c r="D16" s="54" t="s">
        <v>37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19.5" customHeight="1" spans="1:37" x14ac:dyDescent="0.25">
      <c r="A17" s="1"/>
      <c r="B17" s="53"/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1" customHeight="1" spans="1:37" x14ac:dyDescent="0.25">
      <c r="A18" s="1"/>
      <c r="B18" s="53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17.25" customHeight="1" spans="1:37" x14ac:dyDescent="0.25">
      <c r="A19" s="1"/>
      <c r="B19" s="53"/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7.25" customHeight="1" spans="1:37" x14ac:dyDescent="0.25">
      <c r="A20" s="1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7.25" customHeight="1" spans="1:37" x14ac:dyDescent="0.25">
      <c r="A21" s="1"/>
      <c r="B21" s="56"/>
      <c r="C21" s="56"/>
      <c r="D21" s="56"/>
      <c r="E21" s="57" t="s">
        <v>38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 spans="1:37" x14ac:dyDescent="0.25">
      <c r="A22" s="1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 spans="1:37" x14ac:dyDescent="0.25">
      <c r="A23" s="1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 spans="1:37" x14ac:dyDescent="0.25">
      <c r="A24" s="1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mergeCells count="33"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  <mergeCell ref="E10:R10"/>
    <mergeCell ref="B11:D11"/>
    <mergeCell ref="E11:R11"/>
    <mergeCell ref="E12:R12"/>
    <mergeCell ref="B13:E13"/>
    <mergeCell ref="F13:G13"/>
    <mergeCell ref="I13:J13"/>
    <mergeCell ref="K13:N13"/>
    <mergeCell ref="O13:R13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6:C19"/>
    <mergeCell ref="D16:R19"/>
  </mergeCells>
  <printOptions horizontalCentered="1"/>
  <pageMargins left="0.7" right="0.7" top="0.75" bottom="0.75" header="0" footer="0"/>
  <pageSetup paperSize="9"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4"/>
  <sheetViews>
    <sheetView workbookViewId="0" zoomScale="100" zoomScaleNormal="100"/>
  </sheetViews>
  <sheetFormatPr defaultRowHeight="15" outlineLevelRow="0" outlineLevelCol="0" x14ac:dyDescent="0" defaultColWidth="12.63"/>
  <cols>
    <col min="1" max="1" width="7.63" customWidth="1"/>
    <col min="2" max="2" width="16.25" customWidth="1"/>
    <col min="3" max="3" width="15.38" customWidth="1"/>
    <col min="4" max="4" width="6.25" customWidth="1"/>
    <col min="5" max="5" width="8" customWidth="1"/>
    <col min="6" max="6" width="10" customWidth="1"/>
    <col min="7" max="7" width="12" customWidth="1"/>
    <col min="8" max="8" width="10.38" customWidth="1"/>
    <col min="9" max="9" width="12.38" customWidth="1"/>
    <col min="10" max="10" width="10.25" customWidth="1"/>
    <col min="11" max="11" width="12.63" customWidth="1"/>
    <col min="12" max="12" width="9.38" customWidth="1"/>
    <col min="13" max="13" width="15" customWidth="1"/>
    <col min="14" max="14" width="9.5" customWidth="1"/>
    <col min="15" max="16" width="7.63" customWidth="1"/>
    <col min="17" max="17" width="6.88" customWidth="1"/>
    <col min="18" max="26" width="7.63" customWidth="1"/>
  </cols>
  <sheetData>
    <row r="1" ht="30" customHeight="1" spans="1:6" x14ac:dyDescent="0.25">
      <c r="A1" s="1"/>
      <c r="D1" s="1"/>
      <c r="E1" s="1"/>
      <c r="F1" s="1"/>
    </row>
    <row r="2" ht="30" customHeight="1" spans="1:6" x14ac:dyDescent="0.25">
      <c r="A2" s="1"/>
      <c r="D2" s="1"/>
      <c r="E2" s="1"/>
      <c r="F2" s="1"/>
    </row>
    <row r="3" ht="30" customHeight="1" spans="1:14" x14ac:dyDescent="0.25">
      <c r="A3" s="1"/>
      <c r="B3" s="58" t="s">
        <v>39</v>
      </c>
      <c r="C3" s="59" t="s">
        <v>40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1"/>
    </row>
    <row r="4" ht="15" customHeight="1" spans="1:6" x14ac:dyDescent="0.25">
      <c r="A4" s="1"/>
      <c r="D4" s="1"/>
      <c r="E4" s="1"/>
      <c r="F4" s="1"/>
    </row>
    <row r="5" ht="31.5" customHeight="1" spans="1:14" x14ac:dyDescent="0.25">
      <c r="A5" s="1"/>
      <c r="B5" s="62" t="s">
        <v>27</v>
      </c>
      <c r="C5" s="63" t="s">
        <v>28</v>
      </c>
      <c r="D5" s="63" t="s">
        <v>41</v>
      </c>
      <c r="E5" s="63" t="s">
        <v>29</v>
      </c>
      <c r="F5" s="42" t="s">
        <v>42</v>
      </c>
      <c r="G5" s="64"/>
      <c r="H5" s="65" t="s">
        <v>43</v>
      </c>
      <c r="I5" s="66"/>
      <c r="J5" s="42" t="s">
        <v>44</v>
      </c>
      <c r="K5" s="64"/>
      <c r="L5" s="65" t="s">
        <v>45</v>
      </c>
      <c r="M5" s="66"/>
      <c r="N5" s="42" t="s">
        <v>32</v>
      </c>
    </row>
    <row r="6" ht="30.75" customHeight="1" spans="1:18" x14ac:dyDescent="0.25">
      <c r="A6" s="1"/>
      <c r="B6" s="67"/>
      <c r="C6" s="68"/>
      <c r="D6" s="68"/>
      <c r="E6" s="68"/>
      <c r="F6" s="69" t="s">
        <v>30</v>
      </c>
      <c r="G6" s="70" t="s">
        <v>31</v>
      </c>
      <c r="H6" s="68" t="s">
        <v>30</v>
      </c>
      <c r="I6" s="71" t="s">
        <v>31</v>
      </c>
      <c r="J6" s="69" t="s">
        <v>30</v>
      </c>
      <c r="K6" s="70" t="s">
        <v>31</v>
      </c>
      <c r="L6" s="72" t="s">
        <v>30</v>
      </c>
      <c r="M6" s="71" t="s">
        <v>31</v>
      </c>
      <c r="N6" s="73"/>
      <c r="O6" s="1"/>
      <c r="P6" s="1"/>
      <c r="Q6" s="1"/>
      <c r="R6" s="1"/>
    </row>
    <row r="7" ht="30" customHeight="1" spans="1:14" x14ac:dyDescent="0.25">
      <c r="A7" s="1"/>
      <c r="B7" s="74" t="s">
        <v>46</v>
      </c>
      <c r="C7" s="75" t="s">
        <v>47</v>
      </c>
      <c r="D7" s="76" t="s">
        <v>48</v>
      </c>
      <c r="E7" s="77">
        <v>100</v>
      </c>
      <c r="F7" s="78">
        <v>12000</v>
      </c>
      <c r="G7" s="77">
        <f>E7*F7</f>
      </c>
      <c r="H7" s="78">
        <v>8000</v>
      </c>
      <c r="I7" s="77">
        <f>E7*H7</f>
      </c>
      <c r="J7" s="78">
        <v>2000</v>
      </c>
      <c r="K7" s="78">
        <f>E7*J7</f>
      </c>
      <c r="L7" s="79">
        <f>F7+H7+J7</f>
      </c>
      <c r="M7" s="77">
        <f>G7+I7+K7</f>
      </c>
      <c r="N7" s="76"/>
    </row>
    <row r="8" ht="24" customHeight="1" spans="1:14" x14ac:dyDescent="0.25">
      <c r="A8" s="1"/>
      <c r="B8" s="80" t="s">
        <v>49</v>
      </c>
      <c r="C8" s="75" t="s">
        <v>47</v>
      </c>
      <c r="D8" s="81" t="s">
        <v>48</v>
      </c>
      <c r="E8" s="77">
        <v>105</v>
      </c>
      <c r="F8" s="78">
        <v>12500</v>
      </c>
      <c r="G8" s="77">
        <f>E8*F8</f>
      </c>
      <c r="H8" s="78">
        <v>8000</v>
      </c>
      <c r="I8" s="77">
        <f>E8*H8</f>
      </c>
      <c r="J8" s="78">
        <v>2000</v>
      </c>
      <c r="K8" s="78">
        <f>E8*J8</f>
      </c>
      <c r="L8" s="79">
        <f>F8+H8+J8</f>
      </c>
      <c r="M8" s="77">
        <f>G8+I8+K8</f>
      </c>
      <c r="N8" s="76"/>
    </row>
    <row r="9" ht="30" customHeight="1" spans="1:14" x14ac:dyDescent="0.25">
      <c r="A9" s="1"/>
      <c r="B9" s="82" t="s">
        <v>50</v>
      </c>
      <c r="C9" s="83" t="s">
        <v>47</v>
      </c>
      <c r="D9" s="76" t="s">
        <v>48</v>
      </c>
      <c r="E9" s="77">
        <v>110</v>
      </c>
      <c r="F9" s="78">
        <v>13000</v>
      </c>
      <c r="G9" s="77">
        <f>E9*F9</f>
      </c>
      <c r="H9" s="78">
        <v>8000</v>
      </c>
      <c r="I9" s="77">
        <f>E9*H9</f>
      </c>
      <c r="J9" s="78">
        <v>2000</v>
      </c>
      <c r="K9" s="78">
        <f>E9*J9</f>
      </c>
      <c r="L9" s="79">
        <f>F9+H9+J9</f>
      </c>
      <c r="M9" s="77">
        <f>G9+I9+K9</f>
      </c>
      <c r="N9" s="76"/>
    </row>
    <row r="10" ht="30" customHeight="1" spans="1:14" x14ac:dyDescent="0.25">
      <c r="A10" s="1"/>
      <c r="B10" s="82" t="s">
        <v>51</v>
      </c>
      <c r="C10" s="83" t="s">
        <v>47</v>
      </c>
      <c r="D10" s="76" t="s">
        <v>48</v>
      </c>
      <c r="E10" s="77">
        <v>115</v>
      </c>
      <c r="F10" s="78">
        <v>13500</v>
      </c>
      <c r="G10" s="77">
        <f>E10*F10</f>
      </c>
      <c r="H10" s="78">
        <v>8000</v>
      </c>
      <c r="I10" s="77">
        <f>E10*H10</f>
      </c>
      <c r="J10" s="78">
        <v>2000</v>
      </c>
      <c r="K10" s="77">
        <f>E10*J10</f>
      </c>
      <c r="L10" s="79">
        <f>F10+H10+J10</f>
      </c>
      <c r="M10" s="77">
        <f>G10+I10+K10</f>
      </c>
      <c r="N10" s="76"/>
    </row>
    <row r="11" ht="24" customHeight="1" spans="1:14" x14ac:dyDescent="0.25">
      <c r="A11" s="1"/>
      <c r="B11" s="82" t="s">
        <v>52</v>
      </c>
      <c r="C11" s="83" t="s">
        <v>47</v>
      </c>
      <c r="D11" s="76" t="s">
        <v>48</v>
      </c>
      <c r="E11" s="77">
        <v>120</v>
      </c>
      <c r="F11" s="78">
        <v>14000</v>
      </c>
      <c r="G11" s="77">
        <f>E11*F11</f>
      </c>
      <c r="H11" s="78">
        <v>8000</v>
      </c>
      <c r="I11" s="77">
        <f>E11*H11</f>
      </c>
      <c r="J11" s="78">
        <v>2000</v>
      </c>
      <c r="K11" s="78">
        <f>E11*J11</f>
      </c>
      <c r="L11" s="79">
        <f>F11+H11+J11</f>
      </c>
      <c r="M11" s="77">
        <f>G11+I11+K11</f>
      </c>
      <c r="N11" s="76"/>
    </row>
    <row r="12" ht="30" customHeight="1" spans="1:14" x14ac:dyDescent="0.25">
      <c r="A12" s="1"/>
      <c r="B12" s="82" t="s">
        <v>53</v>
      </c>
      <c r="C12" s="83" t="s">
        <v>47</v>
      </c>
      <c r="D12" s="76" t="s">
        <v>48</v>
      </c>
      <c r="E12" s="77">
        <v>125</v>
      </c>
      <c r="F12" s="78">
        <v>14500</v>
      </c>
      <c r="G12" s="77">
        <f>E12*F12</f>
      </c>
      <c r="H12" s="78">
        <v>8000</v>
      </c>
      <c r="I12" s="77">
        <f>E12*H12</f>
      </c>
      <c r="J12" s="78">
        <v>2000</v>
      </c>
      <c r="K12" s="77">
        <f>E12*J12</f>
      </c>
      <c r="L12" s="79">
        <f>F12+H12+J12</f>
      </c>
      <c r="M12" s="77">
        <f>G12+I12+K12</f>
      </c>
      <c r="N12" s="76"/>
    </row>
    <row r="13" ht="30" customHeight="1" spans="2:14" x14ac:dyDescent="0.25">
      <c r="B13" s="82" t="s">
        <v>54</v>
      </c>
      <c r="C13" s="83" t="s">
        <v>47</v>
      </c>
      <c r="D13" s="76" t="s">
        <v>48</v>
      </c>
      <c r="E13" s="77">
        <v>130</v>
      </c>
      <c r="F13" s="78">
        <v>15000</v>
      </c>
      <c r="G13" s="77">
        <f>E13*F13</f>
      </c>
      <c r="H13" s="78">
        <v>8000</v>
      </c>
      <c r="I13" s="77">
        <f>E13*H13</f>
      </c>
      <c r="J13" s="78">
        <v>2000</v>
      </c>
      <c r="K13" s="77">
        <f>E13*J13</f>
      </c>
      <c r="L13" s="79">
        <f>F13+H13+J13</f>
      </c>
      <c r="M13" s="77">
        <f>G13+I13+K13</f>
      </c>
      <c r="N13" s="76"/>
    </row>
    <row r="14" ht="30" customHeight="1" spans="2:14" x14ac:dyDescent="0.25">
      <c r="B14" s="82" t="s">
        <v>55</v>
      </c>
      <c r="C14" s="83" t="s">
        <v>47</v>
      </c>
      <c r="D14" s="76" t="s">
        <v>48</v>
      </c>
      <c r="E14" s="77">
        <v>135</v>
      </c>
      <c r="F14" s="78">
        <v>15500</v>
      </c>
      <c r="G14" s="77">
        <f>E14*F14</f>
      </c>
      <c r="H14" s="78">
        <v>8000</v>
      </c>
      <c r="I14" s="77">
        <f>E14*H14</f>
      </c>
      <c r="J14" s="78">
        <v>2000</v>
      </c>
      <c r="K14" s="78">
        <f>E14*J14</f>
      </c>
      <c r="L14" s="79">
        <f>F14+H14+J14</f>
      </c>
      <c r="M14" s="77">
        <f>G14+I14+K14</f>
      </c>
      <c r="N14" s="76"/>
    </row>
    <row r="15" ht="30" customHeight="1" spans="2:14" x14ac:dyDescent="0.25">
      <c r="B15" s="82" t="s">
        <v>56</v>
      </c>
      <c r="C15" s="83" t="s">
        <v>47</v>
      </c>
      <c r="D15" s="76" t="s">
        <v>57</v>
      </c>
      <c r="E15" s="77">
        <v>2</v>
      </c>
      <c r="F15" s="77" t="s">
        <v>58</v>
      </c>
      <c r="G15" s="77">
        <f>E15*F15</f>
      </c>
      <c r="H15" s="77" t="s">
        <v>58</v>
      </c>
      <c r="I15" s="77">
        <f>E15*H15</f>
      </c>
      <c r="J15" s="77">
        <v>120000</v>
      </c>
      <c r="K15" s="77">
        <f>E15*J15</f>
      </c>
      <c r="L15" s="79">
        <f>F15+H15+J15</f>
      </c>
      <c r="M15" s="77">
        <f>G15+I15+K15</f>
      </c>
      <c r="N15" s="76"/>
    </row>
    <row r="16" ht="30" customHeight="1" spans="2:14" x14ac:dyDescent="0.25">
      <c r="B16" s="82" t="s">
        <v>59</v>
      </c>
      <c r="C16" s="83" t="s">
        <v>47</v>
      </c>
      <c r="D16" s="76" t="s">
        <v>33</v>
      </c>
      <c r="E16" s="77">
        <v>1</v>
      </c>
      <c r="F16" s="77" t="s">
        <v>58</v>
      </c>
      <c r="G16" s="77">
        <f>E16*F16</f>
      </c>
      <c r="H16" s="77" t="s">
        <v>58</v>
      </c>
      <c r="I16" s="77">
        <f>E16*H16</f>
      </c>
      <c r="J16" s="77">
        <v>200000</v>
      </c>
      <c r="K16" s="77">
        <f>E16*J16</f>
      </c>
      <c r="L16" s="79">
        <f>F16+H16+J16</f>
      </c>
      <c r="M16" s="77">
        <f>G16+I16+K16</f>
      </c>
      <c r="N16" s="76"/>
    </row>
    <row r="17" ht="36" customHeight="1" spans="2:14" x14ac:dyDescent="0.25">
      <c r="B17" s="82" t="s">
        <v>60</v>
      </c>
      <c r="C17" s="83" t="s">
        <v>47</v>
      </c>
      <c r="D17" s="76" t="s">
        <v>33</v>
      </c>
      <c r="E17" s="77">
        <v>1</v>
      </c>
      <c r="F17" s="77" t="s">
        <v>58</v>
      </c>
      <c r="G17" s="77">
        <f>E17*F17</f>
      </c>
      <c r="H17" s="77" t="s">
        <v>58</v>
      </c>
      <c r="I17" s="77">
        <f>E17*H17</f>
      </c>
      <c r="J17" s="77" t="s">
        <v>58</v>
      </c>
      <c r="K17" s="77">
        <f>E17*J17</f>
      </c>
      <c r="L17" s="79">
        <f>F17+H17+J17</f>
      </c>
      <c r="M17" s="77">
        <f>G17+I17+K17</f>
      </c>
      <c r="N17" s="76"/>
    </row>
    <row r="18" ht="30" customHeight="1" spans="2:14" x14ac:dyDescent="0.25">
      <c r="B18" s="84" t="s">
        <v>61</v>
      </c>
      <c r="C18" s="85"/>
      <c r="D18" s="86"/>
      <c r="E18" s="87"/>
      <c r="F18" s="87"/>
      <c r="G18" s="88">
        <f>SUM(G7:G17)</f>
      </c>
      <c r="H18" s="89"/>
      <c r="I18" s="88">
        <f>SUM(I7:I17)</f>
      </c>
      <c r="J18" s="87"/>
      <c r="K18" s="88">
        <f>SUM(K7:K17)</f>
      </c>
      <c r="L18" s="87"/>
      <c r="M18" s="87">
        <f>SUM(M7:M17)</f>
      </c>
      <c r="N18" s="90"/>
    </row>
    <row r="19" ht="17.25" customHeight="1" spans="2:14" x14ac:dyDescent="0.25">
      <c r="B19" s="91" t="s">
        <v>62</v>
      </c>
      <c r="C19" s="83"/>
      <c r="D19" s="76" t="s">
        <v>63</v>
      </c>
      <c r="E19" s="77">
        <v>3</v>
      </c>
      <c r="F19" s="77"/>
      <c r="G19" s="77"/>
      <c r="H19" s="77"/>
      <c r="I19" s="77"/>
      <c r="J19" s="77"/>
      <c r="K19" s="77"/>
      <c r="L19" s="79"/>
      <c r="M19" s="77">
        <f>M18*0.03</f>
      </c>
      <c r="N19" s="76"/>
    </row>
    <row r="20" ht="30" customHeight="1" spans="2:14" x14ac:dyDescent="0.25">
      <c r="B20" s="44" t="s">
        <v>64</v>
      </c>
      <c r="C20" s="83"/>
      <c r="D20" s="76" t="s">
        <v>63</v>
      </c>
      <c r="E20" s="77">
        <v>6</v>
      </c>
      <c r="F20" s="77"/>
      <c r="G20" s="77"/>
      <c r="H20" s="77"/>
      <c r="I20" s="77"/>
      <c r="J20" s="77"/>
      <c r="K20" s="77"/>
      <c r="L20" s="79"/>
      <c r="M20" s="77">
        <f>M18*0.06</f>
      </c>
      <c r="N20" s="76"/>
    </row>
    <row r="21" ht="30" customHeight="1" spans="2:14" x14ac:dyDescent="0.25">
      <c r="B21" s="92" t="s">
        <v>65</v>
      </c>
      <c r="C21" s="93"/>
      <c r="D21" s="90"/>
      <c r="E21" s="90"/>
      <c r="F21" s="94"/>
      <c r="G21" s="88"/>
      <c r="H21" s="90"/>
      <c r="I21" s="88"/>
      <c r="J21" s="90"/>
      <c r="K21" s="88"/>
      <c r="L21" s="90"/>
      <c r="M21" s="88">
        <f>SUM(M18:M20)</f>
      </c>
      <c r="N21" s="90"/>
    </row>
    <row r="22" ht="30" customHeight="1" spans="2:14" x14ac:dyDescent="0.25">
      <c r="B22" s="95" t="s">
        <v>66</v>
      </c>
      <c r="C22" s="96"/>
      <c r="D22" s="90"/>
      <c r="E22" s="90"/>
      <c r="F22" s="94"/>
      <c r="G22" s="90"/>
      <c r="H22" s="90"/>
      <c r="I22" s="90"/>
      <c r="J22" s="90"/>
      <c r="K22" s="90"/>
      <c r="L22" s="90"/>
      <c r="M22" s="97">
        <f>FLOOR(M21,100000)</f>
      </c>
      <c r="N22" s="98" t="s">
        <v>67</v>
      </c>
    </row>
    <row r="23" ht="27" customHeight="1" x14ac:dyDescent="0.25"/>
    <row r="24" ht="17.25" customHeight="1" x14ac:dyDescent="0.25"/>
  </sheetData>
  <mergeCells count="5">
    <mergeCell ref="C3:N3"/>
    <mergeCell ref="F5:G5"/>
    <mergeCell ref="H5:I5"/>
    <mergeCell ref="J5:K5"/>
    <mergeCell ref="L5:M5"/>
  </mergeCells>
  <printOptions horizontalCentered="1"/>
  <pageMargins left="0.7" right="0.7" top="0.75" bottom="0.75" header="0" footer="0"/>
  <pageSetup paperSize="9" orientation="landscape" horizontalDpi="4294967295" verticalDpi="4294967295" scale="71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박민우</dc:creator>
  <cp:lastModifiedBy>Unknown</cp:lastModifiedBy>
  <dcterms:created xsi:type="dcterms:W3CDTF">2025-04-06T12:41:57Z</dcterms:created>
  <dcterms:modified xsi:type="dcterms:W3CDTF">2026-04-13T09:20:32Z</dcterms:modified>
</cp:coreProperties>
</file>