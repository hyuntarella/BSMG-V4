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<sst xmlns="http://schemas.openxmlformats.org/spreadsheetml/2006/main" count="76" uniqueCount="58">
  <si>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</si>
  <si>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</si>
  <si>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</si>
  <si>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</si>
  <si>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</si>
  <si>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</si>
  <si>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</si>
  <si>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</si>
  <si>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</si>
  <si>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</si>
  <si>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</si>
  <si>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</si>
  <si>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</si>
  <si>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</si>
  <si>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</si>
  <si>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</si>
  <si>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</si>
  <si>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</si>
  <si>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</si>
  <si>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</si>
  <si>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</si>
  <si>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</si>
  <si>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</si>
  <si>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</si>
  <si>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</si>
  <si>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</si>
  <si>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칠백칠십만원 정(₩7,700,000)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</si>
  <si>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</si>
  <si>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</si>
  <si>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</si>
  <si>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</si>
  <si>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</si>
  <si>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</si>
  <si>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</si>
  <si>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</si>
  <si>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</si>
  <si>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</si>
  <si>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</si>
  <si>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</si>
  <si>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</si>
  <si>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우레탄방수 3mm (제 2안)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</si>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</sst>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4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color theme="1"/>
      <sz val="11"/>
      <name val="Malgun Gothic"/>
    </font>
    <font>
      <b/>
      <color rgb="FFFFFFFF"/>
      <sz val="12"/>
      <name val="Arial"/>
    </font>
    <font>
      <color theme="1"/>
      <sz val="12"/>
      <name val="Arial"/>
    </font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/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2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B7B7B7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B7B7B7"/>
      </bottom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F7F7F"/>
      </right>
      <top style="thick">
        <color rgb="FF000000"/>
      </top>
      <bottom/>
      <diagonal/>
    </border>
    <border>
      <left style="thin">
        <color rgb="FF7F7F7F"/>
      </left>
      <right style="thin">
        <color rgb="FF7F7F7F"/>
      </right>
      <top style="thick">
        <color rgb="FF000000"/>
      </top>
      <bottom/>
      <diagonal/>
    </border>
    <border>
      <left/>
      <right style="thin">
        <color rgb="FF7F7F7F"/>
      </right>
      <top style="thick">
        <color rgb="FF000000"/>
      </top>
      <bottom/>
      <diagonal/>
    </border>
    <border>
      <left style="thin">
        <color rgb="FF7F7F7F"/>
      </left>
      <right/>
      <top style="thick">
        <color rgb="FF000000"/>
      </top>
      <bottom style="thin">
        <color rgb="FF7F7F7F"/>
      </bottom>
      <diagonal/>
    </border>
    <border>
      <left/>
      <right style="thin">
        <color rgb="FF7F7F7F"/>
      </right>
      <top style="thick">
        <color rgb="FF000000"/>
      </top>
      <bottom style="thin">
        <color rgb="FF7F7F7F"/>
      </bottom>
      <diagonal/>
    </border>
    <border>
      <left style="thin">
        <color rgb="FFB7B7B7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3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 shrinkToFit="1"/>
    </xf>
    <xf numFmtId="0" fontId="7" fillId="0" borderId="0" xfId="0" applyFont="1"/>
    <xf numFmtId="0" fontId="7" fillId="4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8" fillId="3" borderId="4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left" vertical="center" shrinkToFit="1"/>
    </xf>
    <xf numFmtId="0" fontId="7" fillId="4" borderId="7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5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shrinkToFit="1"/>
    </xf>
    <xf numFmtId="0" fontId="8" fillId="3" borderId="9" xfId="0" applyFont="1" applyFill="1" applyBorder="1" applyAlignment="1">
      <alignment vertical="center"/>
    </xf>
    <xf numFmtId="0" fontId="6" fillId="0" borderId="10" xfId="0" applyFont="1" applyBorder="1" applyAlignment="1">
      <alignment horizontal="left" vertical="center" shrinkToFit="1"/>
    </xf>
    <xf numFmtId="0" fontId="7" fillId="4" borderId="5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6" fillId="0" borderId="5" xfId="0" applyFont="1" applyBorder="1" applyAlignment="1">
      <alignment horizontal="left" vertical="center" shrinkToFit="1"/>
    </xf>
    <xf numFmtId="0" fontId="8" fillId="2" borderId="0" xfId="0" applyFont="1" applyFill="1" applyAlignment="1">
      <alignment vertical="center"/>
    </xf>
    <xf numFmtId="0" fontId="6" fillId="0" borderId="11" xfId="0" applyFont="1" applyBorder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165" fontId="9" fillId="0" borderId="2" xfId="0" applyNumberFormat="1" applyFont="1" applyBorder="1" applyAlignment="1">
      <alignment horizontal="center" vertical="center" wrapText="1" shrinkToFit="1"/>
    </xf>
    <xf numFmtId="0" fontId="6" fillId="0" borderId="11" xfId="0" applyFont="1" applyBorder="1"/>
    <xf numFmtId="0" fontId="6" fillId="0" borderId="12" xfId="0" applyFont="1" applyBorder="1"/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" fillId="0" borderId="17" xfId="0" applyFont="1" applyBorder="1"/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/>
    </xf>
    <xf numFmtId="3" fontId="6" fillId="0" borderId="18" xfId="0" applyNumberFormat="1" applyFont="1" applyBorder="1" applyAlignment="1">
      <alignment horizontal="right" vertical="center"/>
    </xf>
    <xf numFmtId="0" fontId="6" fillId="0" borderId="20" xfId="0" applyFont="1" applyBorder="1" applyAlignment="1">
      <alignment horizontal="center"/>
    </xf>
    <xf numFmtId="0" fontId="6" fillId="5" borderId="21" xfId="0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6" fillId="5" borderId="21" xfId="0" applyFont="1" applyFill="1" applyBorder="1" applyAlignment="1">
      <alignment vertical="center"/>
    </xf>
    <xf numFmtId="3" fontId="6" fillId="5" borderId="18" xfId="0" applyNumberFormat="1" applyFont="1" applyFill="1" applyBorder="1" applyAlignment="1">
      <alignment horizontal="right" vertical="center"/>
    </xf>
    <xf numFmtId="0" fontId="7" fillId="0" borderId="23" xfId="0" applyFont="1" applyBorder="1" applyAlignment="1">
      <alignment vertical="top" wrapText="1"/>
    </xf>
    <xf numFmtId="0" fontId="6" fillId="0" borderId="24" xfId="0" applyFont="1" applyBorder="1" applyAlignment="1">
      <alignment horizontal="left" vertical="top" wrapText="1"/>
    </xf>
    <xf numFmtId="0" fontId="10" fillId="0" borderId="7" xfId="0" applyFont="1" applyBorder="1"/>
    <xf numFmtId="0" fontId="10" fillId="0" borderId="0" xfId="0" applyFont="1"/>
    <xf numFmtId="0" fontId="10" fillId="0" borderId="0" xfId="0" applyFont="1" applyAlignment="1">
      <alignment horizontal="right"/>
    </xf>
    <xf numFmtId="0" fontId="11" fillId="3" borderId="2" xfId="0" applyFont="1" applyFill="1" applyBorder="1" applyAlignment="1">
      <alignment horizontal="center" vertical="center"/>
    </xf>
    <xf numFmtId="0" fontId="6" fillId="0" borderId="25" xfId="0" applyFont="1" applyBorder="1" applyAlignment="1">
      <alignment horizontal="left" vertical="center" wrapText="1"/>
    </xf>
    <xf numFmtId="0" fontId="12" fillId="0" borderId="25" xfId="0" applyFont="1" applyBorder="1"/>
    <xf numFmtId="0" fontId="12" fillId="0" borderId="26" xfId="0" applyFont="1" applyBorder="1"/>
    <xf numFmtId="0" fontId="8" fillId="3" borderId="27" xfId="0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12" fillId="0" borderId="29" xfId="0" applyFont="1" applyBorder="1"/>
    <xf numFmtId="0" fontId="8" fillId="3" borderId="30" xfId="0" applyFont="1" applyFill="1" applyBorder="1" applyAlignment="1">
      <alignment horizontal="center" vertical="center"/>
    </xf>
    <xf numFmtId="0" fontId="12" fillId="0" borderId="31" xfId="0" applyFont="1" applyBorder="1"/>
    <xf numFmtId="0" fontId="8" fillId="3" borderId="32" xfId="0" applyFont="1" applyFill="1" applyBorder="1" applyAlignment="1">
      <alignment horizontal="center" vertical="center"/>
    </xf>
    <xf numFmtId="0" fontId="8" fillId="3" borderId="33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3" borderId="35" xfId="0" applyFont="1" applyFill="1" applyBorder="1" applyAlignment="1">
      <alignment horizontal="center" vertical="center"/>
    </xf>
    <xf numFmtId="0" fontId="8" fillId="3" borderId="36" xfId="0" applyFont="1" applyFill="1" applyBorder="1" applyAlignment="1">
      <alignment horizontal="center" vertical="center"/>
    </xf>
    <xf numFmtId="0" fontId="8" fillId="3" borderId="37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3" fontId="6" fillId="0" borderId="40" xfId="0" applyNumberFormat="1" applyFont="1" applyBorder="1" applyAlignment="1">
      <alignment horizontal="center" vertical="center"/>
    </xf>
    <xf numFmtId="166" fontId="6" fillId="0" borderId="40" xfId="0" applyNumberFormat="1" applyFont="1" applyBorder="1" applyAlignment="1">
      <alignment horizontal="center" vertical="center"/>
    </xf>
    <xf numFmtId="3" fontId="6" fillId="2" borderId="40" xfId="0" applyNumberFormat="1" applyFont="1" applyFill="1" applyBorder="1" applyAlignment="1">
      <alignment horizontal="center" vertical="center"/>
    </xf>
    <xf numFmtId="0" fontId="13" fillId="0" borderId="38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/>
    </xf>
    <xf numFmtId="0" fontId="6" fillId="6" borderId="39" xfId="0" applyFont="1" applyFill="1" applyBorder="1" applyAlignment="1">
      <alignment horizontal="center" vertical="center" wrapText="1"/>
    </xf>
    <xf numFmtId="0" fontId="6" fillId="6" borderId="40" xfId="0" applyFont="1" applyFill="1" applyBorder="1" applyAlignment="1">
      <alignment horizontal="center" vertical="center"/>
    </xf>
    <xf numFmtId="3" fontId="6" fillId="6" borderId="40" xfId="0" applyNumberFormat="1" applyFont="1" applyFill="1" applyBorder="1" applyAlignment="1">
      <alignment horizontal="center" vertical="center"/>
    </xf>
    <xf numFmtId="3" fontId="6" fillId="5" borderId="40" xfId="0" applyNumberFormat="1" applyFont="1" applyFill="1" applyBorder="1" applyAlignment="1">
      <alignment horizontal="center" vertical="center"/>
    </xf>
    <xf numFmtId="166" fontId="6" fillId="5" borderId="40" xfId="0" applyNumberFormat="1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5" borderId="18" xfId="0" applyFont="1" applyFill="1" applyBorder="1" applyAlignment="1">
      <alignment horizontal="center" vertical="center"/>
    </xf>
    <xf numFmtId="0" fontId="6" fillId="5" borderId="39" xfId="0" applyFont="1" applyFill="1" applyBorder="1" applyAlignment="1">
      <alignment horizontal="center"/>
    </xf>
    <xf numFmtId="3" fontId="6" fillId="5" borderId="40" xfId="0" applyNumberFormat="1" applyFont="1" applyFill="1" applyBorder="1" applyAlignment="1">
      <alignment horizontal="center"/>
    </xf>
    <xf numFmtId="0" fontId="7" fillId="5" borderId="18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/>
    </xf>
    <xf numFmtId="3" fontId="7" fillId="5" borderId="40" xfId="0" applyNumberFormat="1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20</xdr:row>
      <xdr:rowOff>9524</xdr:rowOff>
    </xdr:from>
    <xdr:ext cx="6457950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76200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5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5" customWidth="1"/>
    <col min="13" max="13" width="0.88" customWidth="1"/>
    <col min="14" max="14" width="22" customWidth="1"/>
    <col min="15" max="15" width="6.13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1:37" x14ac:dyDescent="0.25">
      <c r="A6" s="11"/>
      <c r="B6" s="12" t="s">
        <v>2</v>
      </c>
      <c r="C6" s="13"/>
      <c r="D6" s="14" t="s">
        <v>3</v>
      </c>
      <c r="E6" s="14"/>
      <c r="F6" s="14"/>
      <c r="G6" s="15"/>
      <c r="H6" s="16" t="s">
        <v>4</v>
      </c>
      <c r="I6" s="17"/>
      <c r="J6" s="18" t="s">
        <v>5</v>
      </c>
      <c r="K6" s="18"/>
      <c r="L6" s="16" t="s">
        <v>6</v>
      </c>
      <c r="M6" s="17"/>
      <c r="N6" s="19" t="s">
        <v>7</v>
      </c>
      <c r="O6" s="16" t="s">
        <v>8</v>
      </c>
      <c r="P6" s="17"/>
      <c r="Q6" s="18" t="s">
        <v>9</v>
      </c>
      <c r="R6" s="18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20" t="s">
        <v>10</v>
      </c>
      <c r="C7" s="21"/>
      <c r="D7" s="22" t="s">
        <v>11</v>
      </c>
      <c r="E7" s="22"/>
      <c r="F7" s="22"/>
      <c r="G7" s="15"/>
      <c r="H7" s="23" t="s">
        <v>12</v>
      </c>
      <c r="I7" s="24"/>
      <c r="J7" s="25" t="s">
        <v>13</v>
      </c>
      <c r="K7" s="25"/>
      <c r="L7" s="23" t="s">
        <v>14</v>
      </c>
      <c r="M7" s="24"/>
      <c r="N7" s="26" t="s">
        <v>15</v>
      </c>
      <c r="O7" s="26"/>
      <c r="P7" s="26"/>
      <c r="Q7" s="26"/>
      <c r="R7" s="26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20" t="s">
        <v>16</v>
      </c>
      <c r="C8" s="21"/>
      <c r="D8" s="27" t="s">
        <v>17</v>
      </c>
      <c r="E8" s="27"/>
      <c r="F8" s="27"/>
      <c r="G8" s="15"/>
      <c r="H8" s="23" t="s">
        <v>18</v>
      </c>
      <c r="I8" s="24"/>
      <c r="J8" s="25" t="s">
        <v>19</v>
      </c>
      <c r="K8" s="25"/>
      <c r="L8" s="23" t="s">
        <v>20</v>
      </c>
      <c r="M8" s="24"/>
      <c r="N8" s="26" t="s">
        <v>21</v>
      </c>
      <c r="O8" s="26"/>
      <c r="P8" s="26"/>
      <c r="Q8" s="26"/>
      <c r="R8" s="26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28" t="s">
        <v>22</v>
      </c>
      <c r="C9" s="21"/>
      <c r="D9" s="29" t="s">
        <v>23</v>
      </c>
      <c r="E9" s="29"/>
      <c r="F9" s="29"/>
      <c r="G9" s="15"/>
      <c r="H9" s="30" t="s">
        <v>24</v>
      </c>
      <c r="I9" s="31"/>
      <c r="J9" s="32" t="s">
        <v>23</v>
      </c>
      <c r="K9" s="32"/>
      <c r="L9" s="32"/>
      <c r="M9" s="32"/>
      <c r="N9" s="32"/>
      <c r="O9" s="32"/>
      <c r="P9" s="32"/>
      <c r="Q9" s="32"/>
      <c r="R9" s="32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3"/>
      <c r="C10" s="33"/>
      <c r="D10" s="33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35" t="s">
        <v>25</v>
      </c>
      <c r="C11" s="35"/>
      <c r="D11" s="35"/>
      <c r="E11" s="36" t="s">
        <v>26</v>
      </c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37"/>
      <c r="C12" s="37"/>
      <c r="D12" s="37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39" t="s">
        <v>27</v>
      </c>
      <c r="C13" s="39"/>
      <c r="D13" s="39"/>
      <c r="E13" s="39"/>
      <c r="F13" s="40" t="s">
        <v>28</v>
      </c>
      <c r="G13" s="40"/>
      <c r="H13" s="41" t="s">
        <v>29</v>
      </c>
      <c r="I13" s="42" t="s">
        <v>30</v>
      </c>
      <c r="J13" s="42"/>
      <c r="K13" s="43" t="s">
        <v>31</v>
      </c>
      <c r="L13" s="43"/>
      <c r="M13" s="43"/>
      <c r="N13" s="43"/>
      <c r="O13" s="43" t="s">
        <v>32</v>
      </c>
      <c r="P13" s="43"/>
      <c r="Q13" s="43"/>
      <c r="R13" s="43"/>
      <c r="S13" s="44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45" t="str">
        <f>Sheet2!C3</f>
        <v>옥상 우레탄방수 3mm (제 2안)</v>
      </c>
      <c r="C14" s="45"/>
      <c r="D14" s="45"/>
      <c r="E14" s="45"/>
      <c r="F14" s="45" t="s">
        <v>33</v>
      </c>
      <c r="G14" s="45"/>
      <c r="H14" s="46">
        <v>1</v>
      </c>
      <c r="I14" s="47"/>
      <c r="J14" s="47"/>
      <c r="K14" s="48">
        <v>7730825</v>
      </c>
      <c r="L14" s="48"/>
      <c r="M14" s="48"/>
      <c r="N14" s="48"/>
      <c r="O14" s="49"/>
      <c r="P14" s="49"/>
      <c r="Q14" s="49"/>
      <c r="R14" s="49"/>
      <c r="S14" s="44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7" customHeight="1" spans="1:37" x14ac:dyDescent="0.25">
      <c r="A15" s="1"/>
      <c r="B15" s="50" t="s">
        <v>34</v>
      </c>
      <c r="C15" s="50"/>
      <c r="D15" s="50"/>
      <c r="E15" s="50"/>
      <c r="F15" s="51"/>
      <c r="G15" s="51"/>
      <c r="H15" s="52"/>
      <c r="I15" s="50"/>
      <c r="J15" s="50"/>
      <c r="K15" s="53">
        <v>7700000</v>
      </c>
      <c r="L15" s="53"/>
      <c r="M15" s="53"/>
      <c r="N15" s="53"/>
      <c r="O15" s="50" t="s">
        <v>35</v>
      </c>
      <c r="P15" s="50"/>
      <c r="Q15" s="50"/>
      <c r="R15" s="50"/>
      <c r="S15" s="44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6.25" customHeight="1" spans="1:37" x14ac:dyDescent="0.25">
      <c r="A16" s="1"/>
      <c r="B16" s="54" t="s">
        <v>36</v>
      </c>
      <c r="C16" s="54"/>
      <c r="D16" s="55" t="s">
        <v>37</v>
      </c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19.5" customHeight="1" spans="1:37" x14ac:dyDescent="0.25">
      <c r="A17" s="1"/>
      <c r="B17" s="54"/>
      <c r="C17" s="54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1" customHeight="1" spans="1:37" x14ac:dyDescent="0.25">
      <c r="A18" s="1"/>
      <c r="B18" s="54"/>
      <c r="C18" s="54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17.25" customHeight="1" spans="1:37" x14ac:dyDescent="0.25">
      <c r="A19" s="1"/>
      <c r="B19" s="54"/>
      <c r="C19" s="54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7.25" customHeight="1" spans="1:37" x14ac:dyDescent="0.25">
      <c r="A20" s="1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17.25" customHeight="1" spans="1:37" x14ac:dyDescent="0.25">
      <c r="A21" s="1"/>
      <c r="B21" s="57"/>
      <c r="C21" s="57"/>
      <c r="D21" s="57"/>
      <c r="E21" s="58" t="s">
        <v>38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57"/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ht="17.25" customHeight="1" spans="1:37" x14ac:dyDescent="0.25">
      <c r="A25" s="1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</sheetData>
  <mergeCells count="33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C19"/>
    <mergeCell ref="D16:R19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7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18" x14ac:dyDescent="0.25">
      <c r="A1" s="1"/>
      <c r="D1" s="1"/>
      <c r="E1" s="1"/>
      <c r="F1" s="1"/>
      <c r="O1" s="1"/>
      <c r="P1" s="1"/>
      <c r="Q1" s="1"/>
      <c r="R1" s="1"/>
    </row>
    <row r="2" ht="30" customHeight="1" spans="1:18" x14ac:dyDescent="0.25">
      <c r="A2" s="1"/>
      <c r="D2" s="1"/>
      <c r="E2" s="1"/>
      <c r="F2" s="1"/>
      <c r="O2" s="1"/>
      <c r="P2" s="1"/>
      <c r="Q2" s="1"/>
      <c r="R2" s="1"/>
    </row>
    <row r="3" ht="30" customHeight="1" spans="1:14" x14ac:dyDescent="0.25">
      <c r="A3" s="1"/>
      <c r="B3" s="59" t="s">
        <v>39</v>
      </c>
      <c r="C3" s="60" t="s">
        <v>40</v>
      </c>
      <c r="D3" s="61"/>
      <c r="E3" s="61"/>
      <c r="F3" s="61"/>
      <c r="G3" s="61"/>
      <c r="H3" s="61"/>
      <c r="I3" s="61"/>
      <c r="J3" s="61"/>
      <c r="K3" s="61"/>
      <c r="L3" s="61"/>
      <c r="M3" s="61"/>
      <c r="N3" s="62"/>
    </row>
    <row r="4" ht="15" customHeight="1" spans="1:6" x14ac:dyDescent="0.25">
      <c r="A4" s="1"/>
      <c r="D4" s="1"/>
      <c r="E4" s="1"/>
      <c r="F4" s="1"/>
    </row>
    <row r="5" ht="31.5" customHeight="1" spans="1:18" x14ac:dyDescent="0.25">
      <c r="A5" s="1"/>
      <c r="B5" s="63" t="s">
        <v>27</v>
      </c>
      <c r="C5" s="64" t="s">
        <v>28</v>
      </c>
      <c r="D5" s="64" t="s">
        <v>41</v>
      </c>
      <c r="E5" s="64" t="s">
        <v>29</v>
      </c>
      <c r="F5" s="43" t="s">
        <v>42</v>
      </c>
      <c r="G5" s="65"/>
      <c r="H5" s="66" t="s">
        <v>43</v>
      </c>
      <c r="I5" s="67"/>
      <c r="J5" s="66" t="s">
        <v>44</v>
      </c>
      <c r="K5" s="67"/>
      <c r="L5" s="43" t="s">
        <v>45</v>
      </c>
      <c r="M5" s="65"/>
      <c r="N5" s="43" t="s">
        <v>32</v>
      </c>
      <c r="O5" s="1"/>
      <c r="P5" s="1"/>
      <c r="Q5" s="1"/>
      <c r="R5" s="1"/>
    </row>
    <row r="6" ht="30.75" customHeight="1" spans="1:18" x14ac:dyDescent="0.25">
      <c r="A6" s="1"/>
      <c r="B6" s="68"/>
      <c r="C6" s="69"/>
      <c r="D6" s="69"/>
      <c r="E6" s="69"/>
      <c r="F6" s="70" t="s">
        <v>30</v>
      </c>
      <c r="G6" s="71" t="s">
        <v>31</v>
      </c>
      <c r="H6" s="70" t="s">
        <v>30</v>
      </c>
      <c r="I6" s="72" t="s">
        <v>31</v>
      </c>
      <c r="J6" s="70" t="s">
        <v>30</v>
      </c>
      <c r="K6" s="72" t="s">
        <v>31</v>
      </c>
      <c r="L6" s="73" t="s">
        <v>30</v>
      </c>
      <c r="M6" s="71" t="s">
        <v>31</v>
      </c>
      <c r="N6" s="74"/>
      <c r="O6" s="1"/>
      <c r="P6" s="1"/>
      <c r="Q6" s="1"/>
      <c r="R6" s="1"/>
    </row>
    <row r="7" ht="30" customHeight="1" spans="1:14" x14ac:dyDescent="0.25">
      <c r="A7" s="1"/>
      <c r="B7" s="75" t="s">
        <v>46</v>
      </c>
      <c r="C7" s="76" t="s">
        <v>47</v>
      </c>
      <c r="D7" s="77" t="s">
        <v>48</v>
      </c>
      <c r="E7" s="78">
        <v>100</v>
      </c>
      <c r="F7" s="79">
        <v>12000</v>
      </c>
      <c r="G7" s="78">
        <f>E7*F7</f>
      </c>
      <c r="H7" s="79">
        <v>8000</v>
      </c>
      <c r="I7" s="78">
        <f>E7*H7</f>
      </c>
      <c r="J7" s="79">
        <v>2000</v>
      </c>
      <c r="K7" s="79">
        <f>E7*J7</f>
      </c>
      <c r="L7" s="80">
        <f>F7+H7+J7</f>
      </c>
      <c r="M7" s="78">
        <f>G7+I7+K7</f>
      </c>
      <c r="N7" s="77"/>
    </row>
    <row r="8" ht="24" customHeight="1" spans="1:14" x14ac:dyDescent="0.25">
      <c r="A8" s="1"/>
      <c r="B8" s="81" t="s">
        <v>49</v>
      </c>
      <c r="C8" s="76" t="s">
        <v>47</v>
      </c>
      <c r="D8" s="82" t="s">
        <v>48</v>
      </c>
      <c r="E8" s="78">
        <v>105</v>
      </c>
      <c r="F8" s="79">
        <v>12500</v>
      </c>
      <c r="G8" s="78">
        <f>E8*F8</f>
      </c>
      <c r="H8" s="79">
        <v>8000</v>
      </c>
      <c r="I8" s="78">
        <f>E8*H8</f>
      </c>
      <c r="J8" s="79">
        <v>2000</v>
      </c>
      <c r="K8" s="79">
        <f>E8*J8</f>
      </c>
      <c r="L8" s="80">
        <f>F8+H8+J8</f>
      </c>
      <c r="M8" s="78">
        <f>G8+I8+K8</f>
      </c>
      <c r="N8" s="77"/>
    </row>
    <row r="9" ht="30" customHeight="1" spans="1:14" x14ac:dyDescent="0.25">
      <c r="A9" s="1"/>
      <c r="B9" s="83" t="s">
        <v>50</v>
      </c>
      <c r="C9" s="84" t="s">
        <v>47</v>
      </c>
      <c r="D9" s="77" t="s">
        <v>48</v>
      </c>
      <c r="E9" s="78">
        <v>110</v>
      </c>
      <c r="F9" s="79">
        <v>13000</v>
      </c>
      <c r="G9" s="78">
        <f>E9*F9</f>
      </c>
      <c r="H9" s="79">
        <v>8000</v>
      </c>
      <c r="I9" s="78">
        <f>E9*H9</f>
      </c>
      <c r="J9" s="79">
        <v>2000</v>
      </c>
      <c r="K9" s="79">
        <f>E9*J9</f>
      </c>
      <c r="L9" s="80">
        <f>F9+H9+J9</f>
      </c>
      <c r="M9" s="78">
        <f>G9+I9+K9</f>
      </c>
      <c r="N9" s="77"/>
    </row>
    <row r="10" ht="30" customHeight="1" spans="1:14" x14ac:dyDescent="0.25">
      <c r="B10" s="85" t="s">
        <v>51</v>
      </c>
      <c r="C10" s="86"/>
      <c r="D10" s="87"/>
      <c r="E10" s="88"/>
      <c r="F10" s="88"/>
      <c r="G10" s="89">
        <f>SUM(G7:G9)</f>
      </c>
      <c r="H10" s="90"/>
      <c r="I10" s="89">
        <f>SUM(I7:I9)</f>
      </c>
      <c r="J10" s="88"/>
      <c r="K10" s="89">
        <f>SUM(K7:K9)</f>
      </c>
      <c r="L10" s="88"/>
      <c r="M10" s="88">
        <f>SUM(M7:M9)</f>
      </c>
      <c r="N10" s="91"/>
    </row>
    <row r="11" ht="17.25" customHeight="1" spans="1:14" x14ac:dyDescent="0.25">
      <c r="B11" s="92" t="s">
        <v>52</v>
      </c>
      <c r="C11" s="84"/>
      <c r="D11" s="77" t="s">
        <v>53</v>
      </c>
      <c r="E11" s="78">
        <v>3</v>
      </c>
      <c r="F11" s="78"/>
      <c r="G11" s="78"/>
      <c r="H11" s="78"/>
      <c r="I11" s="78"/>
      <c r="J11" s="78"/>
      <c r="K11" s="78"/>
      <c r="L11" s="80"/>
      <c r="M11" s="78">
        <f>M10*0.03</f>
      </c>
      <c r="N11" s="77"/>
    </row>
    <row r="12" ht="30" customHeight="1" spans="1:14" x14ac:dyDescent="0.25">
      <c r="B12" s="45" t="s">
        <v>54</v>
      </c>
      <c r="C12" s="84"/>
      <c r="D12" s="77" t="s">
        <v>53</v>
      </c>
      <c r="E12" s="78">
        <v>6</v>
      </c>
      <c r="F12" s="78"/>
      <c r="G12" s="78"/>
      <c r="H12" s="78"/>
      <c r="I12" s="78"/>
      <c r="J12" s="78"/>
      <c r="K12" s="78"/>
      <c r="L12" s="80"/>
      <c r="M12" s="78">
        <f>M10*0.06</f>
      </c>
      <c r="N12" s="77"/>
    </row>
    <row r="13" ht="30" customHeight="1" spans="1:14" x14ac:dyDescent="0.25">
      <c r="B13" s="93" t="s">
        <v>55</v>
      </c>
      <c r="C13" s="94"/>
      <c r="D13" s="91"/>
      <c r="E13" s="91"/>
      <c r="F13" s="95"/>
      <c r="G13" s="89"/>
      <c r="H13" s="91"/>
      <c r="I13" s="89"/>
      <c r="J13" s="91"/>
      <c r="K13" s="89"/>
      <c r="L13" s="91"/>
      <c r="M13" s="89">
        <f>SUM(M10:M12)</f>
      </c>
      <c r="N13" s="91"/>
    </row>
    <row r="14" ht="30" customHeight="1" spans="1:14" x14ac:dyDescent="0.25">
      <c r="B14" s="96" t="s">
        <v>56</v>
      </c>
      <c r="C14" s="97"/>
      <c r="D14" s="91"/>
      <c r="E14" s="91"/>
      <c r="F14" s="95"/>
      <c r="G14" s="91"/>
      <c r="H14" s="91"/>
      <c r="I14" s="91"/>
      <c r="J14" s="91"/>
      <c r="K14" s="91"/>
      <c r="L14" s="91"/>
      <c r="M14" s="98">
        <f>FLOOR(M13,100000)</f>
      </c>
      <c r="N14" s="99" t="s">
        <v>57</v>
      </c>
    </row>
    <row r="15" ht="27" customHeight="1" x14ac:dyDescent="0.25"/>
    <row r="16" ht="17.25" customHeight="1" x14ac:dyDescent="0.25"/>
    <row r="17" ht="27.7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0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김아라</dc:creator>
  <cp:lastModifiedBy>Unknown</cp:lastModifiedBy>
  <dcterms:created xsi:type="dcterms:W3CDTF">2025-04-06T12:41:57Z</dcterms:created>
  <dcterms:modified xsi:type="dcterms:W3CDTF">2026-04-13T09:20:32Z</dcterms:modified>
</cp:coreProperties>
</file>