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 (2)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<sst xmlns="http://schemas.openxmlformats.org/spreadsheetml/2006/main" count="76" uniqueCount="58">
  <si>
    <t xml:space="preserve">       견 적 서</t>
  </si>
  <si>
    <t>공급자</t>
  </si>
  <si>
    <t xml:space="preserve">  관리번호</t>
  </si>
  <si>
    <t>B-2026-0413-SAMPLE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</si>
  <si>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</si>
  <si>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</si>
  <si>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</si>
  <si>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</si>
  <si>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</si>
  <si>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</si>
  <si>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</si>
  <si>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>2026-04-13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</si>
  <si>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</si>
  <si>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</si>
  <si>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</si>
  <si>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</si>
  <si>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</si>
  <si>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>방수명가 샘플 고객 귀하</t>
  </si>
  <si>
    <t xml:space="preserve">  전화번호</t>
  </si>
  <si>
    <t>010.5379.3587</t>
  </si>
  <si>
    <t xml:space="preserve">  FAX</t>
  </si>
  <si>
    <t>02.3012.3587</t>
  </si>
  <si>
    <t xml:space="preserve">  공 사 명</t>
  </si>
  <si>
    <t>테스트 현장 아파트 옥상 방수공사</t>
  </si>
  <si>
    <t xml:space="preserve">  사업장 주소</t>
  </si>
  <si>
    <t xml:space="preserve">공사금액
(부가세 별도)</t>
  </si>
  <si>
    <t>일금 영원 정(₩0)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</si>
  <si>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</si>
  <si>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</si>
  <si>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</si>
  <si>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</si>
  <si>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</si>
  <si>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</si>
  <si>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</si>
  <si>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</si>
  <si>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rPr>
        <color theme="1"/>
        <sz val="12"/>
        <rFont val="Arial"/>
      </rPr>
      <t>(</t>
    </r>
    <r>
      <rPr>
        <color theme="1"/>
        <sz val="12"/>
        <rFont val="맑은 고딕"/>
      </rPr>
      <t>단수</t>
    </r>
    <r>
      <rPr>
        <color theme="1"/>
        <sz val="12"/>
        <rFont val="Arial"/>
      </rPr>
      <t xml:space="preserve"> </t>
    </r>
    <r>
      <rPr>
        <color theme="1"/>
        <sz val="12"/>
        <rFont val="맑은 고딕"/>
      </rPr>
      <t>정리</t>
    </r>
    <r>
      <rPr>
        <color theme="1"/>
        <sz val="12"/>
        <rFont val="Arial"/>
      </rPr>
      <t>)</t>
    </r>
  </si>
  <si>
    <r>
      <rPr>
        <b/>
        <color theme="1"/>
        <sz val="12"/>
        <rFont val="Arial"/>
      </rPr>
      <t xml:space="preserve">
  </t>
    </r>
    <r>
      <rPr>
        <b/>
        <color theme="1"/>
        <sz val="12"/>
        <rFont val="맑은 고딕"/>
      </rPr>
      <t>특기사항</t>
    </r>
  </si>
  <si>
    <t xml:space="preserve">  1. 하자보수기간 5년 (하자이행증권 3년)
  2. 견적서 제출 30일 유효
  3. 2026년 봄 방수공사 샘플 메모</t>
  </si>
  <si>
    <t>Brand Collaborations</t>
  </si>
  <si>
    <t>공 사 명</t>
  </si>
  <si>
    <t>테스트 현장 아파트 옥상 방수공사 우레탄방수 3mm (제 2안)</t>
  </si>
  <si>
    <t>단 위</t>
  </si>
  <si>
    <t>재 료 비</t>
  </si>
  <si>
    <t>인 건 비</t>
  </si>
  <si>
    <t>경 비</t>
  </si>
  <si>
    <r>
      <rPr>
        <b/>
        <color theme="0"/>
        <sz val="12"/>
        <rFont val="맑은 고딕"/>
      </rPr>
      <t>합</t>
    </r>
    <r>
      <rPr>
        <b/>
        <color theme="0"/>
        <sz val="12"/>
        <rFont val="Arial"/>
      </rPr>
      <t xml:space="preserve"> </t>
    </r>
    <r>
      <rPr>
        <b/>
        <color theme="0"/>
        <sz val="12"/>
        <rFont val="맑은 고딕"/>
      </rPr>
      <t>계</t>
    </r>
  </si>
  <si>
    <t>프라이머 도포</t>
  </si>
  <si>
    <t>3.8mm</t>
  </si>
  <si>
    <t>m²</t>
  </si>
  <si>
    <t>이중복합시트 3.8mm</t>
  </si>
  <si>
    <t>줄눈·크랙 실란트 보강포</t>
  </si>
  <si>
    <r>
      <rPr>
        <color theme="1"/>
        <sz val="12"/>
        <rFont val="맑은 고딕"/>
      </rPr>
      <t>소</t>
    </r>
    <r>
      <rPr>
        <color theme="1"/>
        <sz val="12"/>
        <rFont val="Arial"/>
      </rPr>
      <t xml:space="preserve">       </t>
    </r>
    <r>
      <rPr>
        <color theme="1"/>
        <sz val="12"/>
        <rFont val="맑은 고딕"/>
      </rPr>
      <t>계</t>
    </r>
    <r>
      <rPr>
        <color theme="1"/>
        <sz val="12"/>
        <rFont val="Arial"/>
      </rPr>
      <t xml:space="preserve"> </t>
    </r>
  </si>
  <si>
    <r>
      <rPr>
        <color theme="1"/>
        <sz val="12"/>
        <rFont val="맑은 고딕"/>
      </rPr>
      <t>공</t>
    </r>
    <r>
      <rPr>
        <color theme="1"/>
        <sz val="12"/>
        <rFont val="Arial"/>
      </rPr>
      <t xml:space="preserve">  </t>
    </r>
    <r>
      <rPr>
        <color theme="1"/>
        <sz val="12"/>
        <rFont val="맑은 고딕"/>
      </rPr>
      <t>과</t>
    </r>
    <r>
      <rPr>
        <color theme="1"/>
        <sz val="12"/>
        <rFont val="Arial"/>
      </rPr>
      <t xml:space="preserve">   </t>
    </r>
    <r>
      <rPr>
        <color theme="1"/>
        <sz val="12"/>
        <rFont val="맑은 고딕"/>
      </rPr>
      <t>잡</t>
    </r>
    <r>
      <rPr>
        <color theme="1"/>
        <sz val="12"/>
        <rFont val="Arial"/>
      </rPr>
      <t xml:space="preserve">  </t>
    </r>
    <r>
      <rPr>
        <color theme="1"/>
        <sz val="12"/>
        <rFont val="맑은 고딕"/>
      </rPr>
      <t>비</t>
    </r>
    <r>
      <rPr>
        <color theme="1"/>
        <sz val="12"/>
        <rFont val="Arial"/>
      </rPr>
      <t xml:space="preserve">, 
</t>
    </r>
    <r>
      <rPr>
        <color theme="1"/>
        <sz val="12"/>
        <rFont val="맑은 고딕"/>
      </rPr>
      <t>안</t>
    </r>
    <r>
      <rPr>
        <color theme="1"/>
        <sz val="12"/>
        <rFont val="Arial"/>
      </rPr>
      <t xml:space="preserve"> </t>
    </r>
    <r>
      <rPr>
        <color theme="1"/>
        <sz val="12"/>
        <rFont val="맑은 고딕"/>
      </rPr>
      <t>전</t>
    </r>
    <r>
      <rPr>
        <color theme="1"/>
        <sz val="12"/>
        <rFont val="Arial"/>
      </rPr>
      <t xml:space="preserve"> </t>
    </r>
    <r>
      <rPr>
        <color theme="1"/>
        <sz val="12"/>
        <rFont val="맑은 고딕"/>
      </rPr>
      <t>관</t>
    </r>
    <r>
      <rPr>
        <color theme="1"/>
        <sz val="12"/>
        <rFont val="Arial"/>
      </rPr>
      <t xml:space="preserve"> </t>
    </r>
    <r>
      <rPr>
        <color theme="1"/>
        <sz val="12"/>
        <rFont val="맑은 고딕"/>
      </rPr>
      <t>리</t>
    </r>
    <r>
      <rPr>
        <color theme="1"/>
        <sz val="12"/>
        <rFont val="Arial"/>
      </rPr>
      <t xml:space="preserve"> </t>
    </r>
    <r>
      <rPr>
        <color theme="1"/>
        <sz val="12"/>
        <rFont val="맑은 고딕"/>
      </rPr>
      <t>비</t>
    </r>
  </si>
  <si>
    <t>%</t>
  </si>
  <si>
    <r>
      <rPr>
        <color theme="1"/>
        <sz val="12"/>
        <rFont val="맑은 고딕"/>
      </rPr>
      <t>기</t>
    </r>
    <r>
      <rPr>
        <color theme="1"/>
        <sz val="12"/>
        <rFont val="Arial"/>
      </rPr>
      <t xml:space="preserve">  </t>
    </r>
    <r>
      <rPr>
        <color theme="1"/>
        <sz val="12"/>
        <rFont val="맑은 고딕"/>
      </rPr>
      <t>업</t>
    </r>
    <r>
      <rPr>
        <color theme="1"/>
        <sz val="12"/>
        <rFont val="Arial"/>
      </rPr>
      <t xml:space="preserve">  </t>
    </r>
    <r>
      <rPr>
        <color theme="1"/>
        <sz val="12"/>
        <rFont val="맑은 고딕"/>
      </rPr>
      <t>이</t>
    </r>
    <r>
      <rPr>
        <color theme="1"/>
        <sz val="12"/>
        <rFont val="Arial"/>
      </rPr>
      <t xml:space="preserve">  </t>
    </r>
    <r>
      <rPr>
        <color theme="1"/>
        <sz val="12"/>
        <rFont val="맑은 고딕"/>
      </rPr>
      <t>윤</t>
    </r>
  </si>
  <si>
    <r>
      <rPr>
        <color theme="1"/>
        <sz val="12"/>
        <rFont val="맑은 고딕"/>
      </rPr>
      <t>계</t>
    </r>
  </si>
  <si>
    <r>
      <rPr>
        <b/>
        <color theme="1"/>
        <sz val="12"/>
        <rFont val="맑은 고딕"/>
      </rPr>
      <t>합</t>
    </r>
    <r>
      <rPr>
        <b/>
        <color theme="1"/>
        <sz val="12"/>
        <rFont val="Arial"/>
      </rPr>
      <t xml:space="preserve">       </t>
    </r>
    <r>
      <rPr>
        <b/>
        <color theme="1"/>
        <sz val="12"/>
        <rFont val="맑은 고딕"/>
      </rPr>
      <t>계</t>
    </r>
  </si>
  <si>
    <r>
      <rPr>
        <color theme="1"/>
        <sz val="12"/>
        <rFont val="Arial"/>
      </rPr>
      <t>(</t>
    </r>
    <r>
      <rPr>
        <color theme="1"/>
        <sz val="12"/>
        <rFont val="맑은 고딕"/>
      </rPr>
      <t>단수정리</t>
    </r>
    <r>
      <rPr>
        <color theme="1"/>
        <sz val="12"/>
        <rFont val="Arial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</si>
</sst>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&quot;년&quot; m&quot;월&quot; d&quot;일&quot;"/>
    <numFmt numFmtId="165" formatCode="[DBNum4]&quot;일금&quot;[$-412]General&quot;원정&quot;"/>
    <numFmt numFmtId="166" formatCode="#,##0;-#,##0;"/>
  </numFmts>
  <fonts count="14" x14ac:knownFonts="1">
    <font>
      <color theme="1"/>
      <family val="2"/>
      <scheme val="minor"/>
      <sz val="11"/>
      <name val="Calibri"/>
    </font>
    <font>
      <color theme="1"/>
      <sz val="11"/>
      <name val="Arial"/>
    </font>
    <font>
      <b/>
      <color rgb="FF000000"/>
      <sz val="26"/>
      <name val="Arial"/>
    </font>
    <font>
      <b/>
      <color theme="1"/>
      <sz val="11"/>
      <name val="Arial"/>
    </font>
    <font>
      <color theme="1"/>
      <sz val="11"/>
      <name val="Malgun Gothic"/>
    </font>
    <font>
      <b/>
      <color rgb="FFFFFFFF"/>
      <sz val="12"/>
      <name val="Arial"/>
    </font>
    <font>
      <color theme="1"/>
      <sz val="12"/>
      <name val="Arial"/>
    </font>
    <font/>
    <font>
      <b/>
      <color theme="1"/>
      <sz val="12"/>
      <name val="Arial"/>
    </font>
    <font>
      <b/>
      <color theme="0"/>
      <sz val="12"/>
      <name val="Arial"/>
    </font>
    <font>
      <b/>
      <color theme="1"/>
      <sz val="16"/>
      <name val="Arial"/>
    </font>
    <font>
      <b/>
      <color rgb="FFB7B7B7"/>
      <sz val="11"/>
      <name val="Arial"/>
    </font>
    <font>
      <b/>
      <color theme="0"/>
      <sz val="11"/>
      <name val="Arial"/>
    </font>
    <font>
      <color theme="1"/>
      <sz val="12"/>
      <name val="Malgun Gothic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62626"/>
        <bgColor rgb="FF262626"/>
      </patternFill>
    </fill>
    <fill>
      <patternFill patternType="solid">
        <fgColor rgb="FFEBEBEB"/>
        <bgColor rgb="FFEBEBEB"/>
      </patternFill>
    </fill>
    <fill>
      <patternFill patternType="solid">
        <fgColor rgb="FFF5F5F5"/>
        <bgColor rgb="FFF5F5F5"/>
      </patternFill>
    </fill>
    <fill>
      <patternFill patternType="solid">
        <fgColor rgb="FFF2F2F2"/>
        <bgColor rgb="FFF2F2F2"/>
      </patternFill>
    </fill>
  </fills>
  <borders count="60">
    <border>
      <left/>
      <right/>
      <top/>
      <bottom/>
      <diagonal/>
    </border>
    <border>
      <left/>
      <right/>
      <top style="thick">
        <color rgb="FF000000"/>
      </top>
      <bottom style="thin">
        <color rgb="FF747474"/>
      </bottom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CCCCCC"/>
      </bottom>
      <diagonal/>
    </border>
    <border>
      <left/>
      <right/>
      <top style="thin">
        <color rgb="FF747474"/>
      </top>
      <bottom style="thin">
        <color rgb="FF747474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rgb="FF747474"/>
      </right>
      <top style="thick">
        <color rgb="FF000000"/>
      </top>
      <bottom style="thin">
        <color rgb="FFB7B7B7"/>
      </bottom>
      <diagonal/>
    </border>
    <border>
      <left style="thin">
        <color rgb="FF747474"/>
      </left>
      <right/>
      <top style="thick">
        <color rgb="FF000000"/>
      </top>
      <bottom style="thin">
        <color rgb="FFB7B7B7"/>
      </bottom>
      <diagonal/>
    </border>
    <border>
      <left style="thin">
        <color rgb="FF747474"/>
      </left>
      <right style="thin">
        <color rgb="FF747474"/>
      </right>
      <top style="thick">
        <color rgb="FF000000"/>
      </top>
      <bottom style="thin">
        <color rgb="FFB7B7B7"/>
      </bottom>
      <diagonal/>
    </border>
    <border>
      <left style="thin">
        <color rgb="FF747474"/>
      </left>
      <right/>
      <top style="thick">
        <color rgb="FF000000"/>
      </top>
      <bottom/>
      <diagonal/>
    </border>
    <border>
      <left/>
      <right style="thin">
        <color rgb="FF747474"/>
      </right>
      <top style="thick">
        <color rgb="FF000000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 style="thin">
        <color rgb="FFB7B7B7"/>
      </left>
      <right style="thin">
        <color rgb="FF7F7F7F"/>
      </right>
      <top style="thick">
        <color rgb="FF000000"/>
      </top>
      <bottom/>
      <diagonal/>
    </border>
    <border>
      <left style="thin">
        <color rgb="FF7F7F7F"/>
      </left>
      <right style="thin">
        <color rgb="FF7F7F7F"/>
      </right>
      <top style="thick">
        <color rgb="FF000000"/>
      </top>
      <bottom/>
      <diagonal/>
    </border>
    <border>
      <left/>
      <right style="thin">
        <color rgb="FF7F7F7F"/>
      </right>
      <top style="thick">
        <color rgb="FF000000"/>
      </top>
      <bottom/>
      <diagonal/>
    </border>
    <border>
      <left style="thin">
        <color rgb="FF7F7F7F"/>
      </left>
      <right/>
      <top style="thick">
        <color rgb="FF000000"/>
      </top>
      <bottom style="thin">
        <color rgb="FF7F7F7F"/>
      </bottom>
      <diagonal/>
    </border>
    <border>
      <left/>
      <right style="thin">
        <color rgb="FF7F7F7F"/>
      </right>
      <top style="thick">
        <color rgb="FF000000"/>
      </top>
      <bottom style="thin">
        <color rgb="FF7F7F7F"/>
      </bottom>
      <diagonal/>
    </border>
    <border>
      <left style="thin">
        <color rgb="FFB7B7B7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000000"/>
      </bottom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2" borderId="0" xfId="0" applyFont="1" applyFill="1"/>
    <xf numFmtId="0" fontId="1" fillId="0" borderId="0" xfId="0" applyFont="1" applyAlignment="1">
      <alignment vertical="center"/>
    </xf>
    <xf numFmtId="0" fontId="3" fillId="0" borderId="0" xfId="0" applyFont="1"/>
    <xf numFmtId="0" fontId="3" fillId="2" borderId="0" xfId="0" applyFont="1" applyFill="1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 shrinkToFit="1"/>
    </xf>
    <xf numFmtId="0" fontId="7" fillId="0" borderId="2" xfId="0" applyFont="1" applyBorder="1"/>
    <xf numFmtId="0" fontId="8" fillId="0" borderId="0" xfId="0" applyFont="1"/>
    <xf numFmtId="0" fontId="8" fillId="4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/>
    <xf numFmtId="0" fontId="6" fillId="0" borderId="2" xfId="0" applyFont="1" applyBorder="1" applyAlignment="1">
      <alignment vertical="center"/>
    </xf>
    <xf numFmtId="0" fontId="9" fillId="3" borderId="4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164" fontId="6" fillId="0" borderId="6" xfId="0" applyNumberFormat="1" applyFont="1" applyBorder="1" applyAlignment="1">
      <alignment horizontal="left" vertical="center" shrinkToFit="1"/>
    </xf>
    <xf numFmtId="0" fontId="7" fillId="0" borderId="6" xfId="0" applyFont="1" applyBorder="1"/>
    <xf numFmtId="0" fontId="8" fillId="4" borderId="7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5" xfId="0" applyFont="1" applyBorder="1"/>
    <xf numFmtId="0" fontId="6" fillId="0" borderId="5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 shrinkToFit="1"/>
    </xf>
    <xf numFmtId="0" fontId="7" fillId="0" borderId="8" xfId="0" applyFont="1" applyBorder="1"/>
    <xf numFmtId="0" fontId="9" fillId="3" borderId="9" xfId="0" applyFont="1" applyFill="1" applyBorder="1" applyAlignment="1">
      <alignment vertical="center"/>
    </xf>
    <xf numFmtId="0" fontId="6" fillId="0" borderId="10" xfId="0" applyFont="1" applyBorder="1" applyAlignment="1">
      <alignment horizontal="left" vertical="center" shrinkToFit="1"/>
    </xf>
    <xf numFmtId="0" fontId="7" fillId="0" borderId="10" xfId="0" applyFont="1" applyBorder="1"/>
    <xf numFmtId="0" fontId="8" fillId="4" borderId="5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6" fillId="0" borderId="5" xfId="0" applyFont="1" applyBorder="1" applyAlignment="1">
      <alignment horizontal="left" vertical="center" shrinkToFit="1"/>
    </xf>
    <xf numFmtId="0" fontId="9" fillId="2" borderId="0" xfId="0" applyFont="1" applyFill="1" applyAlignment="1">
      <alignment vertical="center"/>
    </xf>
    <xf numFmtId="0" fontId="6" fillId="0" borderId="11" xfId="0" applyFont="1" applyBorder="1" applyAlignment="1">
      <alignment vertical="center"/>
    </xf>
    <xf numFmtId="0" fontId="7" fillId="0" borderId="11" xfId="0" applyFont="1" applyBorder="1"/>
    <xf numFmtId="0" fontId="9" fillId="3" borderId="2" xfId="0" applyFont="1" applyFill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center" vertical="center" wrapText="1" shrinkToFit="1"/>
    </xf>
    <xf numFmtId="0" fontId="6" fillId="0" borderId="11" xfId="0" applyFont="1" applyBorder="1"/>
    <xf numFmtId="0" fontId="6" fillId="0" borderId="12" xfId="0" applyFont="1" applyBorder="1"/>
    <xf numFmtId="0" fontId="7" fillId="0" borderId="12" xfId="0" applyFont="1" applyBorder="1"/>
    <xf numFmtId="0" fontId="9" fillId="3" borderId="13" xfId="0" applyFont="1" applyFill="1" applyBorder="1" applyAlignment="1">
      <alignment horizontal="center" vertical="center"/>
    </xf>
    <xf numFmtId="0" fontId="7" fillId="0" borderId="14" xfId="0" applyFont="1" applyBorder="1"/>
    <xf numFmtId="0" fontId="7" fillId="0" borderId="15" xfId="0" applyFont="1" applyBorder="1"/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7" fillId="0" borderId="19" xfId="0" applyFont="1" applyBorder="1"/>
    <xf numFmtId="0" fontId="9" fillId="3" borderId="2" xfId="0" applyFont="1" applyFill="1" applyBorder="1" applyAlignment="1">
      <alignment horizontal="center" vertical="center"/>
    </xf>
    <xf numFmtId="0" fontId="7" fillId="0" borderId="20" xfId="0" applyFont="1" applyBorder="1"/>
    <xf numFmtId="0" fontId="1" fillId="0" borderId="21" xfId="0" applyFont="1" applyBorder="1"/>
    <xf numFmtId="0" fontId="6" fillId="0" borderId="22" xfId="0" applyFont="1" applyBorder="1" applyAlignment="1">
      <alignment horizontal="center" vertical="center"/>
    </xf>
    <xf numFmtId="0" fontId="7" fillId="0" borderId="23" xfId="0" applyFont="1" applyBorder="1"/>
    <xf numFmtId="0" fontId="7" fillId="0" borderId="24" xfId="0" applyFont="1" applyBorder="1"/>
    <xf numFmtId="0" fontId="6" fillId="0" borderId="2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/>
    </xf>
    <xf numFmtId="3" fontId="6" fillId="0" borderId="22" xfId="0" applyNumberFormat="1" applyFont="1" applyBorder="1" applyAlignment="1">
      <alignment horizontal="right" vertical="center"/>
    </xf>
    <xf numFmtId="0" fontId="6" fillId="0" borderId="26" xfId="0" applyFont="1" applyBorder="1" applyAlignment="1">
      <alignment horizontal="center"/>
    </xf>
    <xf numFmtId="0" fontId="7" fillId="0" borderId="27" xfId="0" applyFont="1" applyBorder="1"/>
    <xf numFmtId="0" fontId="6" fillId="0" borderId="28" xfId="0" applyFont="1" applyBorder="1" applyAlignment="1">
      <alignment horizontal="center"/>
    </xf>
    <xf numFmtId="0" fontId="7" fillId="0" borderId="29" xfId="0" applyFont="1" applyBorder="1"/>
    <xf numFmtId="0" fontId="6" fillId="0" borderId="7" xfId="0" applyFont="1" applyBorder="1" applyAlignment="1">
      <alignment horizontal="center"/>
    </xf>
    <xf numFmtId="0" fontId="7" fillId="0" borderId="7" xfId="0" applyFont="1" applyBorder="1"/>
    <xf numFmtId="0" fontId="6" fillId="0" borderId="30" xfId="0" applyFont="1" applyBorder="1"/>
    <xf numFmtId="0" fontId="6" fillId="0" borderId="3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7" fillId="0" borderId="32" xfId="0" applyFont="1" applyBorder="1"/>
    <xf numFmtId="0" fontId="7" fillId="0" borderId="33" xfId="0" applyFont="1" applyBorder="1"/>
    <xf numFmtId="0" fontId="6" fillId="5" borderId="31" xfId="0" applyFont="1" applyFill="1" applyBorder="1" applyAlignment="1">
      <alignment horizontal="center" vertical="center"/>
    </xf>
    <xf numFmtId="0" fontId="6" fillId="5" borderId="34" xfId="0" applyFont="1" applyFill="1" applyBorder="1" applyAlignment="1">
      <alignment horizontal="center" vertical="center"/>
    </xf>
    <xf numFmtId="0" fontId="7" fillId="0" borderId="35" xfId="0" applyFont="1" applyBorder="1"/>
    <xf numFmtId="0" fontId="6" fillId="5" borderId="31" xfId="0" applyFont="1" applyFill="1" applyBorder="1" applyAlignment="1">
      <alignment vertical="center"/>
    </xf>
    <xf numFmtId="3" fontId="6" fillId="5" borderId="22" xfId="0" applyNumberFormat="1" applyFont="1" applyFill="1" applyBorder="1" applyAlignment="1">
      <alignment horizontal="right" vertical="center"/>
    </xf>
    <xf numFmtId="0" fontId="8" fillId="0" borderId="30" xfId="0" applyFont="1" applyBorder="1" applyAlignment="1">
      <alignment vertical="top" wrapText="1"/>
    </xf>
    <xf numFmtId="0" fontId="6" fillId="0" borderId="36" xfId="0" applyFont="1" applyBorder="1" applyAlignment="1">
      <alignment horizontal="left" vertical="top" wrapText="1"/>
    </xf>
    <xf numFmtId="0" fontId="7" fillId="0" borderId="37" xfId="0" applyFont="1" applyBorder="1"/>
    <xf numFmtId="0" fontId="7" fillId="0" borderId="38" xfId="0" applyFont="1" applyBorder="1"/>
    <xf numFmtId="0" fontId="7" fillId="0" borderId="21" xfId="0" applyFont="1" applyBorder="1"/>
    <xf numFmtId="0" fontId="7" fillId="0" borderId="39" xfId="0" applyFont="1" applyBorder="1"/>
    <xf numFmtId="0" fontId="7" fillId="0" borderId="40" xfId="0" applyFont="1" applyBorder="1"/>
    <xf numFmtId="0" fontId="7" fillId="0" borderId="26" xfId="0" applyFont="1" applyBorder="1"/>
    <xf numFmtId="0" fontId="7" fillId="0" borderId="41" xfId="0" applyFont="1" applyBorder="1"/>
    <xf numFmtId="0" fontId="7" fillId="0" borderId="42" xfId="0" applyFont="1" applyBorder="1"/>
    <xf numFmtId="0" fontId="7" fillId="0" borderId="43" xfId="0" applyFont="1" applyBorder="1"/>
    <xf numFmtId="0" fontId="11" fillId="0" borderId="7" xfId="0" applyFont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12" fillId="3" borderId="2" xfId="0" applyFont="1" applyFill="1" applyBorder="1" applyAlignment="1">
      <alignment horizontal="center" vertical="center"/>
    </xf>
    <xf numFmtId="0" fontId="6" fillId="0" borderId="44" xfId="0" applyFont="1" applyBorder="1" applyAlignment="1">
      <alignment horizontal="left" vertical="center" wrapText="1"/>
    </xf>
    <xf numFmtId="0" fontId="7" fillId="0" borderId="44" xfId="0" applyFont="1" applyBorder="1"/>
    <xf numFmtId="0" fontId="7" fillId="0" borderId="45" xfId="0" applyFont="1" applyBorder="1"/>
    <xf numFmtId="0" fontId="9" fillId="3" borderId="46" xfId="0" applyFont="1" applyFill="1" applyBorder="1" applyAlignment="1">
      <alignment horizontal="center" vertical="center"/>
    </xf>
    <xf numFmtId="0" fontId="9" fillId="3" borderId="47" xfId="0" applyFont="1" applyFill="1" applyBorder="1" applyAlignment="1">
      <alignment horizontal="center" vertical="center"/>
    </xf>
    <xf numFmtId="0" fontId="7" fillId="0" borderId="48" xfId="0" applyFont="1" applyBorder="1"/>
    <xf numFmtId="0" fontId="9" fillId="3" borderId="49" xfId="0" applyFont="1" applyFill="1" applyBorder="1" applyAlignment="1">
      <alignment horizontal="center" vertical="center"/>
    </xf>
    <xf numFmtId="0" fontId="7" fillId="0" borderId="50" xfId="0" applyFont="1" applyBorder="1"/>
    <xf numFmtId="0" fontId="9" fillId="3" borderId="51" xfId="0" applyFont="1" applyFill="1" applyBorder="1" applyAlignment="1">
      <alignment horizontal="center" vertical="center"/>
    </xf>
    <xf numFmtId="0" fontId="9" fillId="3" borderId="52" xfId="0" applyFont="1" applyFill="1" applyBorder="1" applyAlignment="1">
      <alignment horizontal="center" vertical="center"/>
    </xf>
    <xf numFmtId="0" fontId="9" fillId="3" borderId="53" xfId="0" applyFont="1" applyFill="1" applyBorder="1" applyAlignment="1">
      <alignment horizontal="center" vertical="center"/>
    </xf>
    <xf numFmtId="0" fontId="9" fillId="3" borderId="54" xfId="0" applyFont="1" applyFill="1" applyBorder="1" applyAlignment="1">
      <alignment horizontal="center" vertical="center"/>
    </xf>
    <xf numFmtId="0" fontId="9" fillId="3" borderId="55" xfId="0" applyFont="1" applyFill="1" applyBorder="1" applyAlignment="1">
      <alignment horizontal="center" vertical="center"/>
    </xf>
    <xf numFmtId="0" fontId="9" fillId="3" borderId="5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57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3" fontId="6" fillId="0" borderId="43" xfId="0" applyNumberFormat="1" applyFont="1" applyBorder="1" applyAlignment="1">
      <alignment horizontal="center" vertical="center"/>
    </xf>
    <xf numFmtId="166" fontId="6" fillId="0" borderId="43" xfId="0" applyNumberFormat="1" applyFont="1" applyBorder="1" applyAlignment="1">
      <alignment horizontal="center" vertical="center"/>
    </xf>
    <xf numFmtId="3" fontId="6" fillId="2" borderId="43" xfId="0" applyNumberFormat="1" applyFont="1" applyFill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58" xfId="0" applyFont="1" applyFill="1" applyBorder="1" applyAlignment="1">
      <alignment horizontal="center" vertical="center" wrapText="1"/>
    </xf>
    <xf numFmtId="0" fontId="6" fillId="6" borderId="43" xfId="0" applyFont="1" applyFill="1" applyBorder="1" applyAlignment="1">
      <alignment horizontal="center" vertical="center"/>
    </xf>
    <xf numFmtId="3" fontId="6" fillId="6" borderId="43" xfId="0" applyNumberFormat="1" applyFont="1" applyFill="1" applyBorder="1" applyAlignment="1">
      <alignment horizontal="center" vertical="center"/>
    </xf>
    <xf numFmtId="3" fontId="6" fillId="5" borderId="43" xfId="0" applyNumberFormat="1" applyFont="1" applyFill="1" applyBorder="1" applyAlignment="1">
      <alignment horizontal="center" vertical="center"/>
    </xf>
    <xf numFmtId="166" fontId="6" fillId="5" borderId="43" xfId="0" applyNumberFormat="1" applyFont="1" applyFill="1" applyBorder="1" applyAlignment="1">
      <alignment horizontal="center" vertical="center"/>
    </xf>
    <xf numFmtId="0" fontId="6" fillId="5" borderId="43" xfId="0" applyFont="1" applyFill="1" applyBorder="1" applyAlignment="1">
      <alignment horizontal="center"/>
    </xf>
    <xf numFmtId="0" fontId="6" fillId="0" borderId="22" xfId="0" applyFont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/>
    </xf>
    <xf numFmtId="0" fontId="6" fillId="5" borderId="58" xfId="0" applyFont="1" applyFill="1" applyBorder="1" applyAlignment="1">
      <alignment horizontal="center"/>
    </xf>
    <xf numFmtId="3" fontId="6" fillId="5" borderId="43" xfId="0" applyNumberFormat="1" applyFont="1" applyFill="1" applyBorder="1" applyAlignment="1">
      <alignment horizontal="center"/>
    </xf>
    <xf numFmtId="0" fontId="8" fillId="5" borderId="22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/>
    </xf>
    <xf numFmtId="3" fontId="8" fillId="5" borderId="43" xfId="0" applyNumberFormat="1" applyFont="1" applyFill="1" applyBorder="1" applyAlignment="1">
      <alignment horizontal="center" vertical="center"/>
    </xf>
    <xf numFmtId="0" fontId="6" fillId="5" borderId="4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219075</xdr:colOff>
      <xdr:row>23</xdr:row>
      <xdr:rowOff>9525</xdr:rowOff>
    </xdr:from>
    <xdr:ext cx="6457950" cy="4667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38100</xdr:colOff>
      <xdr:row>1</xdr:row>
      <xdr:rowOff>161925</xdr:rowOff>
    </xdr:from>
    <xdr:ext cx="1447800" cy="3238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76200</xdr:colOff>
      <xdr:row>0</xdr:row>
      <xdr:rowOff>200025</xdr:rowOff>
    </xdr:from>
    <xdr:ext cx="1447800" cy="323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28"/>
  <sheetViews>
    <sheetView workbookViewId="0" zoomScale="100" zoomScaleNormal="100"/>
  </sheetViews>
  <sheetFormatPr defaultRowHeight="15" outlineLevelRow="0" outlineLevelCol="0" x14ac:dyDescent="0" defaultColWidth="12.63"/>
  <cols>
    <col min="1" max="1" width="8" customWidth="1"/>
    <col min="2" max="2" width="9.75" customWidth="1"/>
    <col min="3" max="3" width="0.88" customWidth="1"/>
    <col min="4" max="4" width="3.63" customWidth="1"/>
    <col min="5" max="5" width="31.38" customWidth="1"/>
    <col min="6" max="6" width="2.63" hidden="1" customWidth="1"/>
    <col min="7" max="7" width="6" customWidth="1"/>
    <col min="8" max="8" width="12.38" customWidth="1"/>
    <col min="9" max="9" width="0.88" customWidth="1"/>
    <col min="10" max="10" width="14.13" customWidth="1"/>
    <col min="11" max="11" width="1" customWidth="1"/>
    <col min="12" max="12" width="12.5" customWidth="1"/>
    <col min="13" max="13" width="0.88" customWidth="1"/>
    <col min="14" max="14" width="22" customWidth="1"/>
    <col min="15" max="15" width="6.13" customWidth="1"/>
    <col min="16" max="16" width="0.88" customWidth="1"/>
    <col min="17" max="17" width="8" customWidth="1"/>
    <col min="18" max="18" width="3.25" customWidth="1"/>
    <col min="19" max="37" width="8" customWidth="1"/>
  </cols>
  <sheetData>
    <row r="1" ht="21.75" customHeight="1" spans="1:37" x14ac:dyDescent="0.25">
      <c r="A1" s="1"/>
      <c r="B1" s="2" t="s">
        <v>0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5" customHeight="1" spans="1:37" x14ac:dyDescent="0.25">
      <c r="A2" s="1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ht="15" customHeight="1" spans="1:37" x14ac:dyDescent="0.25">
      <c r="A3" s="1"/>
      <c r="B3" s="1"/>
      <c r="C3" s="1"/>
      <c r="D3" s="1"/>
      <c r="E3" s="1"/>
      <c r="F3" s="1"/>
      <c r="G3" s="1"/>
      <c r="H3" s="3"/>
      <c r="I3" s="3"/>
      <c r="J3" s="3"/>
      <c r="K3" s="3"/>
      <c r="L3" s="1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16.5" customHeight="1" spans="1:37" x14ac:dyDescent="0.25">
      <c r="A4" s="5"/>
      <c r="B4" s="5"/>
      <c r="C4" s="5"/>
      <c r="D4" s="5"/>
      <c r="E4" s="5"/>
      <c r="F4" s="1"/>
      <c r="G4" s="6"/>
      <c r="H4" s="6"/>
      <c r="I4" s="6"/>
      <c r="J4" s="6"/>
      <c r="K4" s="6"/>
      <c r="L4" s="6"/>
      <c r="M4" s="7"/>
      <c r="N4" s="6"/>
      <c r="O4" s="6"/>
      <c r="P4" s="6"/>
      <c r="Q4" s="6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ht="21" customHeight="1" spans="1:37" x14ac:dyDescent="0.25">
      <c r="A5" s="5"/>
      <c r="B5" s="8"/>
      <c r="C5" s="8"/>
      <c r="D5" s="8"/>
      <c r="E5" s="8"/>
      <c r="F5" s="4"/>
      <c r="G5" s="7"/>
      <c r="H5" s="9" t="s">
        <v>1</v>
      </c>
      <c r="I5" s="9"/>
      <c r="J5" s="10"/>
      <c r="K5" s="10"/>
      <c r="L5" s="10"/>
      <c r="M5" s="9"/>
      <c r="N5" s="10"/>
      <c r="O5" s="10"/>
      <c r="P5" s="10"/>
      <c r="Q5" s="10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ht="27" customHeight="1" spans="1:37" x14ac:dyDescent="0.25">
      <c r="A6" s="11"/>
      <c r="B6" s="12" t="s">
        <v>2</v>
      </c>
      <c r="C6" s="13"/>
      <c r="D6" s="14" t="s">
        <v>3</v>
      </c>
      <c r="E6" s="15"/>
      <c r="F6" s="15"/>
      <c r="G6" s="16"/>
      <c r="H6" s="17" t="s">
        <v>4</v>
      </c>
      <c r="I6" s="18"/>
      <c r="J6" s="19" t="s">
        <v>5</v>
      </c>
      <c r="K6" s="20"/>
      <c r="L6" s="17" t="s">
        <v>6</v>
      </c>
      <c r="M6" s="18"/>
      <c r="N6" s="21" t="s">
        <v>7</v>
      </c>
      <c r="O6" s="17" t="s">
        <v>8</v>
      </c>
      <c r="P6" s="18"/>
      <c r="Q6" s="19" t="s">
        <v>9</v>
      </c>
      <c r="R6" s="20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ht="26.25" customHeight="1" spans="1:37" x14ac:dyDescent="0.25">
      <c r="A7" s="5"/>
      <c r="B7" s="22" t="s">
        <v>10</v>
      </c>
      <c r="C7" s="23"/>
      <c r="D7" s="24" t="s">
        <v>11</v>
      </c>
      <c r="E7" s="25"/>
      <c r="F7" s="25"/>
      <c r="G7" s="16"/>
      <c r="H7" s="26" t="s">
        <v>12</v>
      </c>
      <c r="I7" s="27"/>
      <c r="J7" s="28" t="s">
        <v>13</v>
      </c>
      <c r="K7" s="29"/>
      <c r="L7" s="26" t="s">
        <v>14</v>
      </c>
      <c r="M7" s="27"/>
      <c r="N7" s="30" t="s">
        <v>15</v>
      </c>
      <c r="O7" s="29"/>
      <c r="P7" s="29"/>
      <c r="Q7" s="29"/>
      <c r="R7" s="29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ht="26.25" customHeight="1" spans="1:37" x14ac:dyDescent="0.25">
      <c r="A8" s="5"/>
      <c r="B8" s="22" t="s">
        <v>16</v>
      </c>
      <c r="C8" s="23"/>
      <c r="D8" s="31" t="s">
        <v>17</v>
      </c>
      <c r="E8" s="32"/>
      <c r="F8" s="32"/>
      <c r="G8" s="16"/>
      <c r="H8" s="26" t="s">
        <v>18</v>
      </c>
      <c r="I8" s="27"/>
      <c r="J8" s="28" t="s">
        <v>19</v>
      </c>
      <c r="K8" s="29"/>
      <c r="L8" s="26" t="s">
        <v>20</v>
      </c>
      <c r="M8" s="27"/>
      <c r="N8" s="30" t="s">
        <v>21</v>
      </c>
      <c r="O8" s="29"/>
      <c r="P8" s="29"/>
      <c r="Q8" s="29"/>
      <c r="R8" s="29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ht="27.75" customHeight="1" spans="1:37" x14ac:dyDescent="0.25">
      <c r="A9" s="5"/>
      <c r="B9" s="33" t="s">
        <v>22</v>
      </c>
      <c r="C9" s="23"/>
      <c r="D9" s="34" t="s">
        <v>23</v>
      </c>
      <c r="E9" s="35"/>
      <c r="F9" s="35"/>
      <c r="G9" s="16"/>
      <c r="H9" s="36" t="s">
        <v>24</v>
      </c>
      <c r="I9" s="37"/>
      <c r="J9" s="38" t="s">
        <v>23</v>
      </c>
      <c r="K9" s="29"/>
      <c r="L9" s="29"/>
      <c r="M9" s="29"/>
      <c r="N9" s="29"/>
      <c r="O9" s="29"/>
      <c r="P9" s="29"/>
      <c r="Q9" s="29"/>
      <c r="R9" s="29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ht="17.25" customHeight="1" spans="1:37" x14ac:dyDescent="0.25">
      <c r="A10" s="5"/>
      <c r="B10" s="39"/>
      <c r="C10" s="39"/>
      <c r="D10" s="39"/>
      <c r="E10" s="40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ht="50.25" customHeight="1" spans="1:37" x14ac:dyDescent="0.25">
      <c r="A11" s="5"/>
      <c r="B11" s="42" t="s">
        <v>25</v>
      </c>
      <c r="C11" s="15"/>
      <c r="D11" s="15"/>
      <c r="E11" s="43" t="s">
        <v>26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ht="17.25" customHeight="1" spans="1:37" x14ac:dyDescent="0.25">
      <c r="A12" s="1"/>
      <c r="B12" s="44"/>
      <c r="C12" s="44"/>
      <c r="D12" s="44"/>
      <c r="E12" s="45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ht="29.25" customHeight="1" spans="1:37" x14ac:dyDescent="0.25">
      <c r="A13" s="1"/>
      <c r="B13" s="47" t="s">
        <v>27</v>
      </c>
      <c r="C13" s="48"/>
      <c r="D13" s="48"/>
      <c r="E13" s="49"/>
      <c r="F13" s="50" t="s">
        <v>28</v>
      </c>
      <c r="G13" s="49"/>
      <c r="H13" s="51" t="s">
        <v>29</v>
      </c>
      <c r="I13" s="52" t="s">
        <v>30</v>
      </c>
      <c r="J13" s="53"/>
      <c r="K13" s="54" t="s">
        <v>31</v>
      </c>
      <c r="L13" s="15"/>
      <c r="M13" s="15"/>
      <c r="N13" s="55"/>
      <c r="O13" s="54" t="s">
        <v>32</v>
      </c>
      <c r="P13" s="15"/>
      <c r="Q13" s="15"/>
      <c r="R13" s="15"/>
      <c r="S13" s="56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ht="28.5" customHeight="1" spans="1:37" x14ac:dyDescent="0.25">
      <c r="A14" s="1"/>
      <c r="B14" s="57" t="str">
        <f>Sheet2!C3</f>
        <v>옥상 우레탄방수 3mm (제 2안)</v>
      </c>
      <c r="C14" s="58"/>
      <c r="D14" s="58"/>
      <c r="E14" s="59"/>
      <c r="F14" s="57" t="s">
        <v>33</v>
      </c>
      <c r="G14" s="59"/>
      <c r="H14" s="60">
        <v>1</v>
      </c>
      <c r="I14" s="61"/>
      <c r="J14"/>
      <c r="K14" s="62">
        <v>0</v>
      </c>
      <c r="L14" s="58"/>
      <c r="M14" s="58"/>
      <c r="N14" s="59"/>
      <c r="O14" s="63"/>
      <c r="P14" s="35"/>
      <c r="Q14" s="35"/>
      <c r="R14" s="64"/>
      <c r="S14" s="56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ht="25.5" customHeight="1" spans="1:37" x14ac:dyDescent="0.25">
      <c r="A15" s="1"/>
      <c r="B15" s="65"/>
      <c r="C15" s="25"/>
      <c r="D15" s="25"/>
      <c r="E15" s="66"/>
      <c r="F15" s="67"/>
      <c r="G15" s="68"/>
      <c r="H15" s="69"/>
      <c r="I15" s="70"/>
      <c r="J15" s="68"/>
      <c r="K15" s="71"/>
      <c r="L15" s="58"/>
      <c r="M15" s="58"/>
      <c r="N15" s="59"/>
      <c r="O15" s="72"/>
      <c r="P15" s="29"/>
      <c r="Q15" s="29"/>
      <c r="R15" s="73"/>
      <c r="S15" s="56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ht="25.5" customHeight="1" spans="1:37" x14ac:dyDescent="0.25">
      <c r="A16" s="1"/>
      <c r="B16" s="72"/>
      <c r="C16" s="29"/>
      <c r="D16" s="29"/>
      <c r="E16" s="73"/>
      <c r="F16" s="72"/>
      <c r="G16" s="73"/>
      <c r="H16" s="69"/>
      <c r="I16" s="72"/>
      <c r="J16" s="73"/>
      <c r="K16" s="71"/>
      <c r="L16" s="58"/>
      <c r="M16" s="58"/>
      <c r="N16" s="59"/>
      <c r="O16" s="72"/>
      <c r="P16" s="29"/>
      <c r="Q16" s="29"/>
      <c r="R16" s="73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ht="25.5" customHeight="1" spans="1:37" x14ac:dyDescent="0.25">
      <c r="A17" s="1"/>
      <c r="B17" s="72"/>
      <c r="C17" s="29"/>
      <c r="D17" s="29"/>
      <c r="E17" s="74"/>
      <c r="F17" s="67"/>
      <c r="G17" s="68"/>
      <c r="H17" s="69"/>
      <c r="I17" s="70"/>
      <c r="J17" s="68"/>
      <c r="K17" s="71"/>
      <c r="L17" s="58"/>
      <c r="M17" s="58"/>
      <c r="N17" s="59"/>
      <c r="O17" s="72"/>
      <c r="P17" s="29"/>
      <c r="Q17" s="29"/>
      <c r="R17" s="73"/>
      <c r="S17" s="56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ht="27" customHeight="1" spans="1:37" x14ac:dyDescent="0.25">
      <c r="A18" s="1"/>
      <c r="B18" s="75" t="s">
        <v>34</v>
      </c>
      <c r="C18" s="29"/>
      <c r="D18" s="29"/>
      <c r="E18" s="74"/>
      <c r="F18" s="76"/>
      <c r="G18" s="77"/>
      <c r="H18" s="78"/>
      <c r="I18" s="75"/>
      <c r="J18" s="29"/>
      <c r="K18" s="79">
        <v>0</v>
      </c>
      <c r="L18" s="58"/>
      <c r="M18" s="58"/>
      <c r="N18" s="59"/>
      <c r="O18" s="75" t="s">
        <v>35</v>
      </c>
      <c r="P18" s="29"/>
      <c r="Q18" s="29"/>
      <c r="R18" s="29"/>
      <c r="S18" s="56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ht="26.25" customHeight="1" spans="1:37" x14ac:dyDescent="0.25">
      <c r="A19" s="1"/>
      <c r="B19" s="80" t="s">
        <v>36</v>
      </c>
      <c r="C19" s="68"/>
      <c r="D19" s="81" t="s">
        <v>37</v>
      </c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3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ht="19.5" customHeight="1" spans="1:37" x14ac:dyDescent="0.25">
      <c r="A20" s="1"/>
      <c r="B20" s="84"/>
      <c r="C20"/>
      <c r="D20" s="85"/>
      <c r="E20"/>
      <c r="F20"/>
      <c r="G20"/>
      <c r="H20"/>
      <c r="I20"/>
      <c r="J20"/>
      <c r="K20"/>
      <c r="L20"/>
      <c r="M20"/>
      <c r="N20"/>
      <c r="O20"/>
      <c r="P20"/>
      <c r="Q20"/>
      <c r="R20" s="8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ht="21" customHeight="1" spans="1:37" x14ac:dyDescent="0.25">
      <c r="A21" s="1"/>
      <c r="B21" s="84"/>
      <c r="C21"/>
      <c r="D21" s="85"/>
      <c r="E21"/>
      <c r="F21"/>
      <c r="G21"/>
      <c r="H21"/>
      <c r="I21"/>
      <c r="J21"/>
      <c r="K21"/>
      <c r="L21"/>
      <c r="M21"/>
      <c r="N21"/>
      <c r="O21"/>
      <c r="P21"/>
      <c r="Q21"/>
      <c r="R21" s="8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ht="17.25" customHeight="1" spans="1:37" x14ac:dyDescent="0.25">
      <c r="A22" s="1"/>
      <c r="B22" s="87"/>
      <c r="C22" s="35"/>
      <c r="D22" s="88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0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ht="17.25" customHeight="1" spans="1:37" x14ac:dyDescent="0.25">
      <c r="A23" s="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ht="17.25" customHeight="1" spans="1:37" x14ac:dyDescent="0.25">
      <c r="A24" s="1"/>
      <c r="B24" s="92"/>
      <c r="C24" s="92"/>
      <c r="D24" s="92"/>
      <c r="E24" s="93" t="s">
        <v>38</v>
      </c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ht="17.25" customHeight="1" spans="1:37" x14ac:dyDescent="0.25">
      <c r="A25" s="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ht="17.25" customHeight="1" spans="1:37" x14ac:dyDescent="0.25">
      <c r="A26" s="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ht="17.25" customHeight="1" spans="1:37" x14ac:dyDescent="0.25">
      <c r="A27" s="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ht="17.25" customHeight="1" spans="1:37" x14ac:dyDescent="0.25">
      <c r="A28" s="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</sheetData>
  <mergeCells count="48"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  <mergeCell ref="E10:R10"/>
    <mergeCell ref="B11:D11"/>
    <mergeCell ref="E11:R11"/>
    <mergeCell ref="E12:R12"/>
    <mergeCell ref="B13:E13"/>
    <mergeCell ref="F13:G13"/>
    <mergeCell ref="I13:J13"/>
    <mergeCell ref="K13:N13"/>
    <mergeCell ref="O13:R13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O18:R18"/>
    <mergeCell ref="B19:C22"/>
    <mergeCell ref="D19:R22"/>
  </mergeCells>
  <printOptions horizontalCentered="1"/>
  <pageMargins left="0.7" right="0.7" top="0.75" bottom="0.75" header="0" footer="0"/>
  <pageSetup paperSize="9" orientation="landscape" horizontalDpi="4294967295" verticalDpi="4294967295" scale="100" fitToWidth="1" fitToHeight="0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7"/>
  <sheetViews>
    <sheetView workbookViewId="0" zoomScale="100" zoomScaleNormal="100"/>
  </sheetViews>
  <sheetFormatPr defaultRowHeight="15" outlineLevelRow="0" outlineLevelCol="0" x14ac:dyDescent="0" defaultColWidth="12.63"/>
  <cols>
    <col min="1" max="1" width="7.63" customWidth="1"/>
    <col min="2" max="2" width="16.25" customWidth="1"/>
    <col min="3" max="3" width="15.38" customWidth="1"/>
    <col min="4" max="4" width="6.25" customWidth="1"/>
    <col min="5" max="5" width="8" customWidth="1"/>
    <col min="6" max="6" width="10" customWidth="1"/>
    <col min="7" max="7" width="12" customWidth="1"/>
    <col min="8" max="8" width="10.38" customWidth="1"/>
    <col min="9" max="9" width="12.38" customWidth="1"/>
    <col min="10" max="10" width="10.25" customWidth="1"/>
    <col min="11" max="11" width="12.63" customWidth="1"/>
    <col min="12" max="12" width="9.38" customWidth="1"/>
    <col min="13" max="13" width="15" customWidth="1"/>
    <col min="14" max="14" width="9.5" customWidth="1"/>
    <col min="15" max="16" width="7.63" customWidth="1"/>
    <col min="17" max="17" width="6.88" customWidth="1"/>
    <col min="18" max="26" width="7.63" customWidth="1"/>
  </cols>
  <sheetData>
    <row r="1" ht="30" customHeight="1" spans="1:18" x14ac:dyDescent="0.25">
      <c r="A1" s="1"/>
      <c r="D1" s="1"/>
      <c r="E1" s="1"/>
      <c r="F1" s="1"/>
      <c r="O1" s="1"/>
      <c r="P1" s="1"/>
      <c r="Q1" s="1"/>
      <c r="R1" s="1"/>
    </row>
    <row r="2" ht="30" customHeight="1" spans="1:18" x14ac:dyDescent="0.25">
      <c r="A2" s="1"/>
      <c r="D2" s="1"/>
      <c r="E2" s="1"/>
      <c r="F2" s="1"/>
      <c r="O2" s="1"/>
      <c r="P2" s="1"/>
      <c r="Q2" s="1"/>
      <c r="R2" s="1"/>
    </row>
    <row r="3" ht="30" customHeight="1" spans="1:14" x14ac:dyDescent="0.25">
      <c r="A3" s="1"/>
      <c r="B3" s="94" t="s">
        <v>39</v>
      </c>
      <c r="C3" s="95" t="s">
        <v>40</v>
      </c>
      <c r="D3" s="96"/>
      <c r="E3" s="96"/>
      <c r="F3" s="96"/>
      <c r="G3" s="96"/>
      <c r="H3" s="96"/>
      <c r="I3" s="96"/>
      <c r="J3" s="96"/>
      <c r="K3" s="96"/>
      <c r="L3" s="96"/>
      <c r="M3" s="96"/>
      <c r="N3" s="97"/>
    </row>
    <row r="4" ht="15" customHeight="1" spans="1:6" x14ac:dyDescent="0.25">
      <c r="A4" s="1"/>
      <c r="D4" s="1"/>
      <c r="E4" s="1"/>
      <c r="F4" s="1"/>
    </row>
    <row r="5" ht="31.5" customHeight="1" spans="1:18" x14ac:dyDescent="0.25">
      <c r="A5" s="1"/>
      <c r="B5" s="98" t="s">
        <v>27</v>
      </c>
      <c r="C5" s="99" t="s">
        <v>28</v>
      </c>
      <c r="D5" s="99" t="s">
        <v>41</v>
      </c>
      <c r="E5" s="99" t="s">
        <v>29</v>
      </c>
      <c r="F5" s="54" t="s">
        <v>42</v>
      </c>
      <c r="G5" s="100"/>
      <c r="H5" s="101" t="s">
        <v>43</v>
      </c>
      <c r="I5" s="102"/>
      <c r="J5" s="101" t="s">
        <v>44</v>
      </c>
      <c r="K5" s="102"/>
      <c r="L5" s="54" t="s">
        <v>45</v>
      </c>
      <c r="M5" s="100"/>
      <c r="N5" s="54" t="s">
        <v>32</v>
      </c>
      <c r="O5" s="1"/>
      <c r="P5" s="1"/>
      <c r="Q5" s="1"/>
      <c r="R5" s="1"/>
    </row>
    <row r="6" ht="30.75" customHeight="1" spans="1:18" x14ac:dyDescent="0.25">
      <c r="A6" s="1"/>
      <c r="B6" s="103"/>
      <c r="C6" s="104"/>
      <c r="D6" s="104"/>
      <c r="E6" s="104"/>
      <c r="F6" s="105" t="s">
        <v>30</v>
      </c>
      <c r="G6" s="106" t="s">
        <v>31</v>
      </c>
      <c r="H6" s="105" t="s">
        <v>30</v>
      </c>
      <c r="I6" s="107" t="s">
        <v>31</v>
      </c>
      <c r="J6" s="105" t="s">
        <v>30</v>
      </c>
      <c r="K6" s="107" t="s">
        <v>31</v>
      </c>
      <c r="L6" s="108" t="s">
        <v>30</v>
      </c>
      <c r="M6" s="106" t="s">
        <v>31</v>
      </c>
      <c r="N6" s="109"/>
      <c r="O6" s="1"/>
      <c r="P6" s="1"/>
      <c r="Q6" s="1"/>
      <c r="R6" s="1"/>
    </row>
    <row r="7" ht="30" customHeight="1" spans="1:14" x14ac:dyDescent="0.25">
      <c r="A7" s="1"/>
      <c r="B7" s="110" t="s">
        <v>46</v>
      </c>
      <c r="C7" s="111" t="s">
        <v>47</v>
      </c>
      <c r="D7" s="112" t="s">
        <v>48</v>
      </c>
      <c r="E7" s="113">
        <v>100</v>
      </c>
      <c r="F7" s="114">
        <v>12000</v>
      </c>
      <c r="G7" s="113">
        <f>E7*F7</f>
      </c>
      <c r="H7" s="114">
        <v>8000</v>
      </c>
      <c r="I7" s="113">
        <f>E7*H7</f>
      </c>
      <c r="J7" s="114">
        <v>2000</v>
      </c>
      <c r="K7" s="114">
        <f>E7*J7</f>
      </c>
      <c r="L7" s="115">
        <f>F7+H7+J7</f>
      </c>
      <c r="M7" s="113">
        <f>G7+I7+K7</f>
      </c>
      <c r="N7" s="112"/>
    </row>
    <row r="8" ht="20" customHeight="1" spans="1:14" x14ac:dyDescent="0.25">
      <c r="A8" s="1"/>
      <c r="B8" s="116" t="s">
        <v>49</v>
      </c>
      <c r="C8" s="111" t="s">
        <v>47</v>
      </c>
      <c r="D8" s="117" t="s">
        <v>48</v>
      </c>
      <c r="E8" s="113">
        <v>105</v>
      </c>
      <c r="F8" s="114">
        <v>12500</v>
      </c>
      <c r="G8" s="113">
        <f>E8*F8</f>
      </c>
      <c r="H8" s="114">
        <v>8000</v>
      </c>
      <c r="I8" s="113">
        <f>E8*H8</f>
      </c>
      <c r="J8" s="114">
        <v>2000</v>
      </c>
      <c r="K8" s="114">
        <f>E8*J8</f>
      </c>
      <c r="L8" s="115">
        <f>F8+H8+J8</f>
      </c>
      <c r="M8" s="113">
        <f>G8+I8+K8</f>
      </c>
      <c r="N8" s="112"/>
    </row>
    <row r="9" ht="30" customHeight="1" spans="1:14" x14ac:dyDescent="0.25">
      <c r="A9" s="1"/>
      <c r="B9" s="118" t="s">
        <v>50</v>
      </c>
      <c r="C9" s="119" t="s">
        <v>47</v>
      </c>
      <c r="D9" s="112" t="s">
        <v>48</v>
      </c>
      <c r="E9" s="113">
        <v>110</v>
      </c>
      <c r="F9" s="114">
        <v>13000</v>
      </c>
      <c r="G9" s="113">
        <f>E9*F9</f>
      </c>
      <c r="H9" s="114">
        <v>8000</v>
      </c>
      <c r="I9" s="113">
        <f>E9*H9</f>
      </c>
      <c r="J9" s="114">
        <v>2000</v>
      </c>
      <c r="K9" s="114">
        <f>E9*J9</f>
      </c>
      <c r="L9" s="115">
        <f>F9+H9+J9</f>
      </c>
      <c r="M9" s="113">
        <f>G9+I9+K9</f>
      </c>
      <c r="N9" s="112"/>
    </row>
    <row r="10" ht="30" customHeight="1" spans="1:14" x14ac:dyDescent="0.25">
      <c r="B10" s="120" t="s">
        <v>51</v>
      </c>
      <c r="C10" s="121"/>
      <c r="D10" s="122"/>
      <c r="E10" s="123"/>
      <c r="F10" s="123"/>
      <c r="G10" s="124">
        <f>SUM(G7:G9)</f>
      </c>
      <c r="H10" s="125"/>
      <c r="I10" s="124">
        <f>SUM(I7:I9)</f>
      </c>
      <c r="J10" s="123"/>
      <c r="K10" s="124">
        <f>SUM(K7:K9)</f>
      </c>
      <c r="L10" s="123"/>
      <c r="M10" s="123">
        <f>SUM(M7:M9)</f>
      </c>
      <c r="N10" s="126"/>
    </row>
    <row r="11" ht="17.25" customHeight="1" spans="1:14" x14ac:dyDescent="0.25">
      <c r="B11" s="127" t="s">
        <v>52</v>
      </c>
      <c r="C11" s="119"/>
      <c r="D11" s="112" t="s">
        <v>53</v>
      </c>
      <c r="E11" s="113">
        <v>3</v>
      </c>
      <c r="F11" s="113"/>
      <c r="G11" s="113"/>
      <c r="H11" s="113"/>
      <c r="I11" s="113"/>
      <c r="J11" s="113"/>
      <c r="K11" s="113"/>
      <c r="L11" s="115"/>
      <c r="M11" s="113">
        <f>M10*0.03</f>
      </c>
      <c r="N11" s="112"/>
    </row>
    <row r="12" ht="30" customHeight="1" spans="1:14" x14ac:dyDescent="0.25">
      <c r="B12" s="57" t="s">
        <v>54</v>
      </c>
      <c r="C12" s="119"/>
      <c r="D12" s="112" t="s">
        <v>53</v>
      </c>
      <c r="E12" s="113">
        <v>6</v>
      </c>
      <c r="F12" s="113"/>
      <c r="G12" s="113"/>
      <c r="H12" s="113"/>
      <c r="I12" s="113"/>
      <c r="J12" s="113"/>
      <c r="K12" s="113"/>
      <c r="L12" s="115"/>
      <c r="M12" s="113">
        <f>M10*0.06</f>
      </c>
      <c r="N12" s="112"/>
    </row>
    <row r="13" ht="30" customHeight="1" spans="1:14" x14ac:dyDescent="0.25">
      <c r="B13" s="128" t="s">
        <v>55</v>
      </c>
      <c r="C13" s="129"/>
      <c r="D13" s="126"/>
      <c r="E13" s="126"/>
      <c r="F13" s="130"/>
      <c r="G13" s="124"/>
      <c r="H13" s="126"/>
      <c r="I13" s="124"/>
      <c r="J13" s="126"/>
      <c r="K13" s="124"/>
      <c r="L13" s="126"/>
      <c r="M13" s="124">
        <f>SUM(M10:M12)</f>
      </c>
      <c r="N13" s="126"/>
    </row>
    <row r="14" ht="30" customHeight="1" spans="1:14" x14ac:dyDescent="0.25">
      <c r="B14" s="131" t="s">
        <v>56</v>
      </c>
      <c r="C14" s="132"/>
      <c r="D14" s="126"/>
      <c r="E14" s="126"/>
      <c r="F14" s="130"/>
      <c r="G14" s="126"/>
      <c r="H14" s="126"/>
      <c r="I14" s="126"/>
      <c r="J14" s="126"/>
      <c r="K14" s="126"/>
      <c r="L14" s="126"/>
      <c r="M14" s="133">
        <f>FLOOR(M13,100000)</f>
      </c>
      <c r="N14" s="134" t="s">
        <v>57</v>
      </c>
    </row>
    <row r="15" ht="27" customHeight="1" x14ac:dyDescent="0.25"/>
    <row r="16" ht="17.25" customHeight="1" x14ac:dyDescent="0.25"/>
    <row r="17" ht="27.75" customHeight="1" x14ac:dyDescent="0.25"/>
  </sheetData>
  <mergeCells count="5">
    <mergeCell ref="C3:N3"/>
    <mergeCell ref="F5:G5"/>
    <mergeCell ref="H5:I5"/>
    <mergeCell ref="J5:K5"/>
    <mergeCell ref="L5:M5"/>
  </mergeCells>
  <printOptions horizontalCentered="1"/>
  <pageMargins left="0.7" right="0.7" top="0.75" bottom="0.75" header="0" footer="0"/>
  <pageSetup paperSize="9" orientation="landscape" horizontalDpi="4294967295" verticalDpi="4294967295" scale="100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김아라</dc:creator>
  <cp:lastModifiedBy>Unknown</cp:lastModifiedBy>
  <dcterms:created xsi:type="dcterms:W3CDTF">2025-04-06T12:41:57Z</dcterms:created>
  <dcterms:modified xsi:type="dcterms:W3CDTF">2026-04-13T08:20:05Z</dcterms:modified>
</cp:coreProperties>
</file>