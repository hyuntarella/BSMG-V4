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<sst xmlns="http://schemas.openxmlformats.org/spreadsheetml/2006/main" count="91" uniqueCount="63">
  <si>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</si>
  <si>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</si>
  <si>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</si>
  <si>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</si>
  <si>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</si>
  <si>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</si>
  <si>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</si>
  <si>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</si>
  <si>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</si>
  <si>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</si>
  <si>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</si>
  <si>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</si>
  <si>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</si>
  <si>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</si>
  <si>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</si>
  <si>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</si>
  <si>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</si>
  <si>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</si>
  <si>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</si>
  <si>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</si>
  <si>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</si>
  <si>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</si>
  <si>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</si>
  <si>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</si>
  <si>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</si>
  <si>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</si>
  <si>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영원 정(₩0)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</si>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</sst>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/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58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/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/>
      <right style="thin">
        <color rgb="FF525979"/>
      </right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 style="thin">
        <color rgb="FFB7B7B7"/>
      </right>
      <top style="thin">
        <color rgb="FFB7B7B7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B7B7B7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3" xfId="0" applyFont="1" applyBorder="1"/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/>
    <xf numFmtId="0" fontId="5" fillId="0" borderId="2" xfId="0" applyFont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0" borderId="7" xfId="0" applyFont="1" applyBorder="1"/>
    <xf numFmtId="0" fontId="7" fillId="4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0" borderId="6" xfId="0" applyFont="1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0" borderId="10" xfId="0" applyFont="1" applyBorder="1"/>
    <xf numFmtId="0" fontId="7" fillId="4" borderId="6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6" fillId="0" borderId="11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9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6" fillId="0" borderId="14" xfId="0" applyFont="1" applyBorder="1"/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8" fillId="3" borderId="2" xfId="0" applyFont="1" applyFill="1" applyBorder="1" applyAlignment="1">
      <alignment horizontal="center" vertical="center"/>
    </xf>
    <xf numFmtId="0" fontId="6" fillId="0" borderId="19" xfId="0" applyFont="1" applyBorder="1"/>
    <xf numFmtId="0" fontId="1" fillId="0" borderId="20" xfId="0" applyFont="1" applyBorder="1"/>
    <xf numFmtId="0" fontId="5" fillId="0" borderId="21" xfId="0" applyFont="1" applyBorder="1" applyAlignment="1">
      <alignment horizontal="center" vertical="center"/>
    </xf>
    <xf numFmtId="0" fontId="6" fillId="0" borderId="22" xfId="0" applyFont="1" applyBorder="1"/>
    <xf numFmtId="0" fontId="6" fillId="0" borderId="23" xfId="0" applyFont="1" applyBorder="1"/>
    <xf numFmtId="0" fontId="5" fillId="0" borderId="2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3" fontId="5" fillId="0" borderId="21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/>
    </xf>
    <xf numFmtId="0" fontId="6" fillId="0" borderId="26" xfId="0" applyFont="1" applyBorder="1"/>
    <xf numFmtId="0" fontId="5" fillId="0" borderId="27" xfId="0" applyFont="1" applyBorder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5" fillId="0" borderId="30" xfId="0" applyFont="1" applyBorder="1"/>
    <xf numFmtId="0" fontId="5" fillId="0" borderId="3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6" fillId="0" borderId="32" xfId="0" applyFont="1" applyBorder="1"/>
    <xf numFmtId="0" fontId="6" fillId="0" borderId="33" xfId="0" applyFont="1" applyBorder="1"/>
    <xf numFmtId="0" fontId="5" fillId="5" borderId="31" xfId="0" applyFont="1" applyFill="1" applyBorder="1" applyAlignment="1">
      <alignment horizontal="center" vertical="center"/>
    </xf>
    <xf numFmtId="0" fontId="5" fillId="5" borderId="34" xfId="0" applyFont="1" applyFill="1" applyBorder="1" applyAlignment="1">
      <alignment horizontal="center" vertical="center"/>
    </xf>
    <xf numFmtId="0" fontId="6" fillId="0" borderId="35" xfId="0" applyFont="1" applyBorder="1"/>
    <xf numFmtId="0" fontId="5" fillId="5" borderId="31" xfId="0" applyFont="1" applyFill="1" applyBorder="1" applyAlignment="1">
      <alignment vertical="center"/>
    </xf>
    <xf numFmtId="3" fontId="5" fillId="5" borderId="21" xfId="0" applyNumberFormat="1" applyFont="1" applyFill="1" applyBorder="1" applyAlignment="1">
      <alignment horizontal="right" vertical="center"/>
    </xf>
    <xf numFmtId="0" fontId="7" fillId="0" borderId="30" xfId="0" applyFont="1" applyBorder="1" applyAlignment="1">
      <alignment vertical="top" wrapText="1"/>
    </xf>
    <xf numFmtId="0" fontId="5" fillId="0" borderId="36" xfId="0" applyFont="1" applyBorder="1" applyAlignment="1">
      <alignment horizontal="left" vertical="top" wrapText="1"/>
    </xf>
    <xf numFmtId="0" fontId="6" fillId="0" borderId="37" xfId="0" applyFont="1" applyBorder="1"/>
    <xf numFmtId="0" fontId="6" fillId="0" borderId="38" xfId="0" applyFont="1" applyBorder="1"/>
    <xf numFmtId="0" fontId="6" fillId="0" borderId="20" xfId="0" applyFont="1" applyBorder="1"/>
    <xf numFmtId="0" fontId="6" fillId="0" borderId="39" xfId="0" applyFont="1" applyBorder="1"/>
    <xf numFmtId="0" fontId="6" fillId="0" borderId="40" xfId="0" applyFont="1" applyBorder="1"/>
    <xf numFmtId="0" fontId="6" fillId="0" borderId="25" xfId="0" applyFont="1" applyBorder="1"/>
    <xf numFmtId="0" fontId="6" fillId="0" borderId="41" xfId="0" applyFont="1" applyBorder="1"/>
    <xf numFmtId="0" fontId="6" fillId="0" borderId="42" xfId="0" applyFont="1" applyBorder="1"/>
    <xf numFmtId="0" fontId="10" fillId="0" borderId="8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left" vertical="center" wrapText="1"/>
    </xf>
    <xf numFmtId="0" fontId="6" fillId="0" borderId="43" xfId="0" applyFont="1" applyBorder="1"/>
    <xf numFmtId="0" fontId="6" fillId="0" borderId="44" xfId="0" applyFont="1" applyBorder="1"/>
    <xf numFmtId="0" fontId="8" fillId="3" borderId="45" xfId="0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0" fontId="8" fillId="3" borderId="47" xfId="0" applyFont="1" applyFill="1" applyBorder="1" applyAlignment="1">
      <alignment horizontal="center" vertical="center"/>
    </xf>
    <xf numFmtId="0" fontId="6" fillId="0" borderId="48" xfId="0" applyFont="1" applyBorder="1"/>
    <xf numFmtId="0" fontId="8" fillId="3" borderId="49" xfId="0" applyFont="1" applyFill="1" applyBorder="1" applyAlignment="1">
      <alignment horizontal="center" vertical="center"/>
    </xf>
    <xf numFmtId="0" fontId="8" fillId="3" borderId="50" xfId="0" applyFont="1" applyFill="1" applyBorder="1" applyAlignment="1">
      <alignment horizontal="center" vertical="center"/>
    </xf>
    <xf numFmtId="0" fontId="8" fillId="3" borderId="51" xfId="0" applyFont="1" applyFill="1" applyBorder="1" applyAlignment="1">
      <alignment horizontal="center" vertical="center"/>
    </xf>
    <xf numFmtId="0" fontId="8" fillId="3" borderId="52" xfId="0" applyFont="1" applyFill="1" applyBorder="1" applyAlignment="1">
      <alignment horizontal="center" vertical="center"/>
    </xf>
    <xf numFmtId="0" fontId="8" fillId="3" borderId="53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3" fontId="5" fillId="0" borderId="42" xfId="0" applyNumberFormat="1" applyFont="1" applyBorder="1" applyAlignment="1">
      <alignment horizontal="center" vertical="center"/>
    </xf>
    <xf numFmtId="166" fontId="5" fillId="0" borderId="42" xfId="0" applyNumberFormat="1" applyFont="1" applyBorder="1" applyAlignment="1">
      <alignment horizontal="center" vertical="center"/>
    </xf>
    <xf numFmtId="3" fontId="5" fillId="2" borderId="42" xfId="0" applyNumberFormat="1" applyFont="1" applyFill="1" applyBorder="1" applyAlignment="1">
      <alignment horizontal="center" vertical="center"/>
    </xf>
    <xf numFmtId="0" fontId="12" fillId="0" borderId="55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/>
    </xf>
    <xf numFmtId="0" fontId="5" fillId="6" borderId="56" xfId="0" applyFont="1" applyFill="1" applyBorder="1" applyAlignment="1">
      <alignment horizontal="center" vertical="center" wrapText="1"/>
    </xf>
    <xf numFmtId="0" fontId="5" fillId="6" borderId="42" xfId="0" applyFont="1" applyFill="1" applyBorder="1" applyAlignment="1">
      <alignment horizontal="center" vertical="center"/>
    </xf>
    <xf numFmtId="3" fontId="5" fillId="6" borderId="42" xfId="0" applyNumberFormat="1" applyFont="1" applyFill="1" applyBorder="1" applyAlignment="1">
      <alignment horizontal="center" vertical="center"/>
    </xf>
    <xf numFmtId="3" fontId="5" fillId="5" borderId="42" xfId="0" applyNumberFormat="1" applyFont="1" applyFill="1" applyBorder="1" applyAlignment="1">
      <alignment horizontal="center" vertical="center"/>
    </xf>
    <xf numFmtId="166" fontId="5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/>
    </xf>
    <xf numFmtId="0" fontId="5" fillId="0" borderId="21" xfId="0" applyFont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3" fontId="5" fillId="5" borderId="42" xfId="0" applyNumberFormat="1" applyFont="1" applyFill="1" applyBorder="1" applyAlignment="1">
      <alignment horizontal="center"/>
    </xf>
    <xf numFmtId="0" fontId="7" fillId="5" borderId="21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/>
    </xf>
    <xf numFmtId="3" fontId="7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23</xdr:row>
      <xdr:rowOff>9525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7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4"/>
      <c r="F6" s="14"/>
      <c r="G6" s="15"/>
      <c r="H6" s="16" t="s">
        <v>4</v>
      </c>
      <c r="I6" s="17"/>
      <c r="J6" s="18" t="s">
        <v>5</v>
      </c>
      <c r="K6" s="19"/>
      <c r="L6" s="16" t="s">
        <v>6</v>
      </c>
      <c r="M6" s="17"/>
      <c r="N6" s="20" t="s">
        <v>7</v>
      </c>
      <c r="O6" s="16" t="s">
        <v>8</v>
      </c>
      <c r="P6" s="17"/>
      <c r="Q6" s="18" t="s">
        <v>9</v>
      </c>
      <c r="R6" s="19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1" t="s">
        <v>10</v>
      </c>
      <c r="C7" s="22"/>
      <c r="D7" s="23" t="s">
        <v>11</v>
      </c>
      <c r="E7" s="24"/>
      <c r="F7" s="24"/>
      <c r="G7" s="15"/>
      <c r="H7" s="25" t="s">
        <v>12</v>
      </c>
      <c r="I7" s="26"/>
      <c r="J7" s="27" t="s">
        <v>13</v>
      </c>
      <c r="K7" s="28"/>
      <c r="L7" s="25" t="s">
        <v>14</v>
      </c>
      <c r="M7" s="26"/>
      <c r="N7" s="29" t="s">
        <v>15</v>
      </c>
      <c r="O7" s="28"/>
      <c r="P7" s="28"/>
      <c r="Q7" s="28"/>
      <c r="R7" s="28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1" t="s">
        <v>16</v>
      </c>
      <c r="C8" s="22"/>
      <c r="D8" s="30" t="s">
        <v>17</v>
      </c>
      <c r="E8" s="24"/>
      <c r="F8" s="24"/>
      <c r="G8" s="15"/>
      <c r="H8" s="25" t="s">
        <v>18</v>
      </c>
      <c r="I8" s="26"/>
      <c r="J8" s="27" t="s">
        <v>19</v>
      </c>
      <c r="K8" s="28"/>
      <c r="L8" s="25" t="s">
        <v>20</v>
      </c>
      <c r="M8" s="26"/>
      <c r="N8" s="29" t="s">
        <v>21</v>
      </c>
      <c r="O8" s="28"/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31" t="s">
        <v>22</v>
      </c>
      <c r="C9" s="22"/>
      <c r="D9" s="32" t="s">
        <v>23</v>
      </c>
      <c r="E9" s="33"/>
      <c r="F9" s="33"/>
      <c r="G9" s="15"/>
      <c r="H9" s="34" t="s">
        <v>24</v>
      </c>
      <c r="I9" s="35"/>
      <c r="J9" s="36" t="s">
        <v>23</v>
      </c>
      <c r="K9" s="28"/>
      <c r="L9" s="28"/>
      <c r="M9" s="28"/>
      <c r="N9" s="28"/>
      <c r="O9" s="28"/>
      <c r="P9" s="28"/>
      <c r="Q9" s="28"/>
      <c r="R9" s="28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7"/>
      <c r="C10" s="37"/>
      <c r="D10" s="37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40" t="s">
        <v>25</v>
      </c>
      <c r="C11" s="41"/>
      <c r="D11" s="41"/>
      <c r="E11" s="42" t="s">
        <v>26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43"/>
      <c r="C12" s="43"/>
      <c r="D12" s="43"/>
      <c r="E12" s="44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46" t="s">
        <v>27</v>
      </c>
      <c r="C13" s="14"/>
      <c r="D13" s="14"/>
      <c r="E13" s="47"/>
      <c r="F13" s="48" t="s">
        <v>28</v>
      </c>
      <c r="G13" s="47"/>
      <c r="H13" s="49" t="s">
        <v>29</v>
      </c>
      <c r="I13" s="50" t="s">
        <v>30</v>
      </c>
      <c r="J13" s="51"/>
      <c r="K13" s="52" t="s">
        <v>31</v>
      </c>
      <c r="L13" s="41"/>
      <c r="M13" s="41"/>
      <c r="N13" s="53"/>
      <c r="O13" s="52" t="s">
        <v>32</v>
      </c>
      <c r="P13" s="41"/>
      <c r="Q13" s="41"/>
      <c r="R13" s="41"/>
      <c r="S13" s="5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55" t="str">
        <f>Sheet2!C3</f>
        <v>옥상 이중복합방수 3.8mm (제 1안)</v>
      </c>
      <c r="C14" s="56"/>
      <c r="D14" s="56"/>
      <c r="E14" s="57"/>
      <c r="F14" s="55" t="s">
        <v>33</v>
      </c>
      <c r="G14" s="57"/>
      <c r="H14" s="58">
        <v>1</v>
      </c>
      <c r="I14" s="59"/>
      <c r="J14"/>
      <c r="K14" s="60">
        <v>0</v>
      </c>
      <c r="L14" s="56"/>
      <c r="M14" s="56"/>
      <c r="N14" s="57"/>
      <c r="O14" s="61"/>
      <c r="P14" s="33"/>
      <c r="Q14" s="33"/>
      <c r="R14" s="62"/>
      <c r="S14" s="5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5.5" customHeight="1" spans="1:37" x14ac:dyDescent="0.25">
      <c r="A15" s="1"/>
      <c r="B15" s="63"/>
      <c r="C15" s="64"/>
      <c r="D15" s="64"/>
      <c r="E15" s="65"/>
      <c r="F15" s="66"/>
      <c r="G15" s="67"/>
      <c r="H15" s="68"/>
      <c r="I15" s="69"/>
      <c r="J15" s="67"/>
      <c r="K15" s="70"/>
      <c r="L15" s="56"/>
      <c r="M15" s="56"/>
      <c r="N15" s="57"/>
      <c r="O15" s="71"/>
      <c r="P15" s="28"/>
      <c r="Q15" s="28"/>
      <c r="R15" s="72"/>
      <c r="S15" s="5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5.5" customHeight="1" spans="1:37" x14ac:dyDescent="0.25">
      <c r="A16" s="1"/>
      <c r="B16" s="71"/>
      <c r="C16" s="28"/>
      <c r="D16" s="28"/>
      <c r="E16" s="72"/>
      <c r="F16" s="71"/>
      <c r="G16" s="72"/>
      <c r="H16" s="68"/>
      <c r="I16" s="71"/>
      <c r="J16" s="72"/>
      <c r="K16" s="70"/>
      <c r="L16" s="56"/>
      <c r="M16" s="56"/>
      <c r="N16" s="57"/>
      <c r="O16" s="71"/>
      <c r="P16" s="28"/>
      <c r="Q16" s="28"/>
      <c r="R16" s="7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25.5" customHeight="1" spans="1:37" x14ac:dyDescent="0.25">
      <c r="A17" s="1"/>
      <c r="B17" s="71"/>
      <c r="C17" s="28"/>
      <c r="D17" s="28"/>
      <c r="E17" s="73"/>
      <c r="F17" s="66"/>
      <c r="G17" s="67"/>
      <c r="H17" s="68"/>
      <c r="I17" s="69"/>
      <c r="J17" s="67"/>
      <c r="K17" s="70"/>
      <c r="L17" s="56"/>
      <c r="M17" s="56"/>
      <c r="N17" s="57"/>
      <c r="O17" s="71"/>
      <c r="P17" s="28"/>
      <c r="Q17" s="28"/>
      <c r="R17" s="72"/>
      <c r="S17" s="54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7" customHeight="1" spans="1:37" x14ac:dyDescent="0.25">
      <c r="A18" s="1"/>
      <c r="B18" s="74" t="s">
        <v>34</v>
      </c>
      <c r="C18" s="28"/>
      <c r="D18" s="28"/>
      <c r="E18" s="73"/>
      <c r="F18" s="75"/>
      <c r="G18" s="76"/>
      <c r="H18" s="77"/>
      <c r="I18" s="74"/>
      <c r="J18" s="28"/>
      <c r="K18" s="78">
        <v>0</v>
      </c>
      <c r="L18" s="56"/>
      <c r="M18" s="56"/>
      <c r="N18" s="57"/>
      <c r="O18" s="74" t="s">
        <v>35</v>
      </c>
      <c r="P18" s="28"/>
      <c r="Q18" s="28"/>
      <c r="R18" s="28"/>
      <c r="S18" s="5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26.25" customHeight="1" spans="1:37" x14ac:dyDescent="0.25">
      <c r="A19" s="1"/>
      <c r="B19" s="79" t="s">
        <v>36</v>
      </c>
      <c r="C19" s="67"/>
      <c r="D19" s="80" t="s">
        <v>37</v>
      </c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2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9.5" customHeight="1" spans="1:37" x14ac:dyDescent="0.25">
      <c r="A20" s="1"/>
      <c r="B20" s="83"/>
      <c r="C20"/>
      <c r="D20" s="84"/>
      <c r="E20"/>
      <c r="F20"/>
      <c r="G20"/>
      <c r="H20"/>
      <c r="I20"/>
      <c r="J20"/>
      <c r="K20"/>
      <c r="L20"/>
      <c r="M20"/>
      <c r="N20"/>
      <c r="O20"/>
      <c r="P20"/>
      <c r="Q20"/>
      <c r="R20" s="8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21" customHeight="1" spans="1:37" x14ac:dyDescent="0.25">
      <c r="A21" s="1"/>
      <c r="B21" s="83"/>
      <c r="C21"/>
      <c r="D21" s="84"/>
      <c r="E21"/>
      <c r="F21"/>
      <c r="G21"/>
      <c r="H21"/>
      <c r="I21"/>
      <c r="J21"/>
      <c r="K21"/>
      <c r="L21"/>
      <c r="M21"/>
      <c r="N21"/>
      <c r="O21"/>
      <c r="P21"/>
      <c r="Q21"/>
      <c r="R21" s="8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86"/>
      <c r="C22" s="33"/>
      <c r="D22" s="87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88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90"/>
      <c r="C24" s="90"/>
      <c r="D24" s="90"/>
      <c r="E24" s="91" t="s">
        <v>38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ht="17.25" customHeight="1" spans="1:37" x14ac:dyDescent="0.25">
      <c r="A26" s="1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ht="17.25" customHeight="1" spans="1:37" x14ac:dyDescent="0.25">
      <c r="A27" s="1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</sheetData>
  <mergeCells count="48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E16"/>
    <mergeCell ref="F16:G16"/>
    <mergeCell ref="I16:J16"/>
    <mergeCell ref="K16:N16"/>
    <mergeCell ref="O16:R16"/>
    <mergeCell ref="B17:E17"/>
    <mergeCell ref="F17:G17"/>
    <mergeCell ref="I17:J17"/>
    <mergeCell ref="K17:N17"/>
    <mergeCell ref="O17:R17"/>
    <mergeCell ref="B18:E18"/>
    <mergeCell ref="F18:G18"/>
    <mergeCell ref="I18:J18"/>
    <mergeCell ref="K18:N18"/>
    <mergeCell ref="O18:R18"/>
    <mergeCell ref="B19:C22"/>
    <mergeCell ref="D19:R22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0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1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92" t="s">
        <v>39</v>
      </c>
      <c r="C3" s="93" t="s">
        <v>40</v>
      </c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96" t="s">
        <v>27</v>
      </c>
      <c r="C5" s="97" t="s">
        <v>28</v>
      </c>
      <c r="D5" s="97" t="s">
        <v>41</v>
      </c>
      <c r="E5" s="97" t="s">
        <v>29</v>
      </c>
      <c r="F5" s="52" t="s">
        <v>42</v>
      </c>
      <c r="G5" s="51"/>
      <c r="H5" s="98" t="s">
        <v>43</v>
      </c>
      <c r="I5" s="99"/>
      <c r="J5" s="52" t="s">
        <v>44</v>
      </c>
      <c r="K5" s="51"/>
      <c r="L5" s="98" t="s">
        <v>45</v>
      </c>
      <c r="M5" s="99"/>
      <c r="N5" s="52" t="s">
        <v>32</v>
      </c>
    </row>
    <row r="6" ht="30.75" customHeight="1" spans="1:18" x14ac:dyDescent="0.25">
      <c r="A6" s="1"/>
      <c r="B6" s="100"/>
      <c r="C6" s="101"/>
      <c r="D6" s="101"/>
      <c r="E6" s="101"/>
      <c r="F6" s="102" t="s">
        <v>30</v>
      </c>
      <c r="G6" s="103" t="s">
        <v>31</v>
      </c>
      <c r="H6" s="101" t="s">
        <v>30</v>
      </c>
      <c r="I6" s="104" t="s">
        <v>31</v>
      </c>
      <c r="J6" s="102" t="s">
        <v>30</v>
      </c>
      <c r="K6" s="103" t="s">
        <v>31</v>
      </c>
      <c r="L6" s="105" t="s">
        <v>30</v>
      </c>
      <c r="M6" s="104" t="s">
        <v>31</v>
      </c>
      <c r="N6" s="106"/>
      <c r="O6" s="1"/>
      <c r="P6" s="1"/>
      <c r="Q6" s="1"/>
      <c r="R6" s="1"/>
    </row>
    <row r="7" ht="30" customHeight="1" spans="1:14" x14ac:dyDescent="0.25">
      <c r="A7" s="1"/>
      <c r="B7" s="107" t="s">
        <v>46</v>
      </c>
      <c r="C7" s="108" t="s">
        <v>47</v>
      </c>
      <c r="D7" s="109" t="s">
        <v>48</v>
      </c>
      <c r="E7" s="110">
        <v>100</v>
      </c>
      <c r="F7" s="111">
        <v>12000</v>
      </c>
      <c r="G7" s="110">
        <f>E7*F7</f>
      </c>
      <c r="H7" s="111">
        <v>8000</v>
      </c>
      <c r="I7" s="110">
        <f>E7*H7</f>
      </c>
      <c r="J7" s="111">
        <v>2000</v>
      </c>
      <c r="K7" s="111">
        <f>E7*J7</f>
      </c>
      <c r="L7" s="112">
        <f>F7+H7+J7</f>
      </c>
      <c r="M7" s="110">
        <f>G7+I7+K7</f>
      </c>
      <c r="N7" s="109"/>
    </row>
    <row r="8" ht="20" customHeight="1" spans="1:14" x14ac:dyDescent="0.25">
      <c r="A8" s="1"/>
      <c r="B8" s="113" t="s">
        <v>49</v>
      </c>
      <c r="C8" s="108" t="s">
        <v>47</v>
      </c>
      <c r="D8" s="114" t="s">
        <v>48</v>
      </c>
      <c r="E8" s="110">
        <v>105</v>
      </c>
      <c r="F8" s="111">
        <v>12500</v>
      </c>
      <c r="G8" s="110">
        <f>E8*F8</f>
      </c>
      <c r="H8" s="111">
        <v>8000</v>
      </c>
      <c r="I8" s="110">
        <f>E8*H8</f>
      </c>
      <c r="J8" s="111">
        <v>2000</v>
      </c>
      <c r="K8" s="111">
        <f>E8*J8</f>
      </c>
      <c r="L8" s="112">
        <f>F8+H8+J8</f>
      </c>
      <c r="M8" s="110">
        <f>G8+I8+K8</f>
      </c>
      <c r="N8" s="109"/>
    </row>
    <row r="9" ht="30" customHeight="1" spans="1:14" x14ac:dyDescent="0.25">
      <c r="A9" s="1"/>
      <c r="B9" s="115" t="s">
        <v>50</v>
      </c>
      <c r="C9" s="116" t="s">
        <v>47</v>
      </c>
      <c r="D9" s="109" t="s">
        <v>48</v>
      </c>
      <c r="E9" s="110">
        <v>110</v>
      </c>
      <c r="F9" s="111">
        <v>13000</v>
      </c>
      <c r="G9" s="110">
        <f>E9*F9</f>
      </c>
      <c r="H9" s="111">
        <v>8000</v>
      </c>
      <c r="I9" s="110">
        <f>E9*H9</f>
      </c>
      <c r="J9" s="111">
        <v>2000</v>
      </c>
      <c r="K9" s="111">
        <f>E9*J9</f>
      </c>
      <c r="L9" s="112">
        <f>F9+H9+J9</f>
      </c>
      <c r="M9" s="110">
        <f>G9+I9+K9</f>
      </c>
      <c r="N9" s="109"/>
    </row>
    <row r="10" ht="30" customHeight="1" spans="1:14" x14ac:dyDescent="0.25">
      <c r="A10" s="1"/>
      <c r="B10" s="115" t="s">
        <v>51</v>
      </c>
      <c r="C10" s="116" t="s">
        <v>47</v>
      </c>
      <c r="D10" s="109" t="s">
        <v>48</v>
      </c>
      <c r="E10" s="110">
        <v>115</v>
      </c>
      <c r="F10" s="111">
        <v>13500</v>
      </c>
      <c r="G10" s="110">
        <f>E10*F10</f>
      </c>
      <c r="H10" s="111">
        <v>8000</v>
      </c>
      <c r="I10" s="110">
        <f>E10*H10</f>
      </c>
      <c r="J10" s="111">
        <v>2000</v>
      </c>
      <c r="K10" s="110">
        <f>E10*J10</f>
      </c>
      <c r="L10" s="112">
        <f>F10+H10+J10</f>
      </c>
      <c r="M10" s="110">
        <f>G10+I10+K10</f>
      </c>
      <c r="N10" s="109"/>
    </row>
    <row r="11" ht="20" customHeight="1" spans="1:14" x14ac:dyDescent="0.25">
      <c r="A11" s="1"/>
      <c r="B11" s="115" t="s">
        <v>52</v>
      </c>
      <c r="C11" s="116" t="s">
        <v>47</v>
      </c>
      <c r="D11" s="109" t="s">
        <v>48</v>
      </c>
      <c r="E11" s="110">
        <v>120</v>
      </c>
      <c r="F11" s="111">
        <v>14000</v>
      </c>
      <c r="G11" s="110">
        <f>E11*F11</f>
      </c>
      <c r="H11" s="111">
        <v>8000</v>
      </c>
      <c r="I11" s="110">
        <f>E11*H11</f>
      </c>
      <c r="J11" s="111">
        <v>2000</v>
      </c>
      <c r="K11" s="111">
        <f>E11*J11</f>
      </c>
      <c r="L11" s="112">
        <f>F11+H11+J11</f>
      </c>
      <c r="M11" s="110">
        <f>G11+I11+K11</f>
      </c>
      <c r="N11" s="109"/>
    </row>
    <row r="12" ht="30" customHeight="1" spans="1:14" x14ac:dyDescent="0.25">
      <c r="A12" s="1"/>
      <c r="B12" s="115" t="s">
        <v>53</v>
      </c>
      <c r="C12" s="116" t="s">
        <v>47</v>
      </c>
      <c r="D12" s="109" t="s">
        <v>48</v>
      </c>
      <c r="E12" s="110">
        <v>125</v>
      </c>
      <c r="F12" s="111">
        <v>14500</v>
      </c>
      <c r="G12" s="110">
        <f>E12*F12</f>
      </c>
      <c r="H12" s="111">
        <v>8000</v>
      </c>
      <c r="I12" s="110">
        <f>E12*H12</f>
      </c>
      <c r="J12" s="111">
        <v>2000</v>
      </c>
      <c r="K12" s="110">
        <f>E12*J12</f>
      </c>
      <c r="L12" s="112">
        <f>F12+H12+J12</f>
      </c>
      <c r="M12" s="110">
        <f>G12+I12+K12</f>
      </c>
      <c r="N12" s="109"/>
    </row>
    <row r="13" ht="30" customHeight="1" spans="2:14" x14ac:dyDescent="0.25">
      <c r="B13" s="115" t="s">
        <v>54</v>
      </c>
      <c r="C13" s="116" t="s">
        <v>47</v>
      </c>
      <c r="D13" s="109" t="s">
        <v>48</v>
      </c>
      <c r="E13" s="110">
        <v>130</v>
      </c>
      <c r="F13" s="111">
        <v>15000</v>
      </c>
      <c r="G13" s="110">
        <f>E13*F13</f>
      </c>
      <c r="H13" s="111">
        <v>8000</v>
      </c>
      <c r="I13" s="110">
        <f>E13*H13</f>
      </c>
      <c r="J13" s="111">
        <v>2000</v>
      </c>
      <c r="K13" s="110">
        <f>E13*J13</f>
      </c>
      <c r="L13" s="112">
        <f>F13+H13+J13</f>
      </c>
      <c r="M13" s="110">
        <f>G13+I13+K13</f>
      </c>
      <c r="N13" s="109"/>
    </row>
    <row r="14" ht="30" customHeight="1" spans="2:14" x14ac:dyDescent="0.25">
      <c r="B14" s="115" t="s">
        <v>55</v>
      </c>
      <c r="C14" s="116" t="s">
        <v>47</v>
      </c>
      <c r="D14" s="109" t="s">
        <v>48</v>
      </c>
      <c r="E14" s="110">
        <v>135</v>
      </c>
      <c r="F14" s="111">
        <v>15500</v>
      </c>
      <c r="G14" s="110">
        <f>E14*F14</f>
      </c>
      <c r="H14" s="111">
        <v>8000</v>
      </c>
      <c r="I14" s="110">
        <f>E14*H14</f>
      </c>
      <c r="J14" s="111">
        <v>2000</v>
      </c>
      <c r="K14" s="111">
        <f>E14*J14</f>
      </c>
      <c r="L14" s="112">
        <f>F14+H14+J14</f>
      </c>
      <c r="M14" s="110">
        <f>G14+I14+K14</f>
      </c>
      <c r="N14" s="109"/>
    </row>
    <row r="15" ht="30" customHeight="1" spans="1:14" x14ac:dyDescent="0.25">
      <c r="B15" s="117" t="s">
        <v>56</v>
      </c>
      <c r="C15" s="118"/>
      <c r="D15" s="119"/>
      <c r="E15" s="120"/>
      <c r="F15" s="120"/>
      <c r="G15" s="121">
        <f>SUM(G7:G14)</f>
      </c>
      <c r="H15" s="122"/>
      <c r="I15" s="121">
        <f>SUM(I7:I14)</f>
      </c>
      <c r="J15" s="120"/>
      <c r="K15" s="121">
        <f>SUM(K7:K14)</f>
      </c>
      <c r="L15" s="120"/>
      <c r="M15" s="120">
        <f>SUM(M7:M14)</f>
      </c>
      <c r="N15" s="123"/>
    </row>
    <row r="16" ht="17.25" customHeight="1" spans="1:14" x14ac:dyDescent="0.25">
      <c r="B16" s="124" t="s">
        <v>57</v>
      </c>
      <c r="C16" s="116"/>
      <c r="D16" s="109" t="s">
        <v>58</v>
      </c>
      <c r="E16" s="110">
        <v>3</v>
      </c>
      <c r="F16" s="110"/>
      <c r="G16" s="110"/>
      <c r="H16" s="110"/>
      <c r="I16" s="110"/>
      <c r="J16" s="110"/>
      <c r="K16" s="110"/>
      <c r="L16" s="112"/>
      <c r="M16" s="110">
        <f>M15*0.03</f>
      </c>
      <c r="N16" s="109"/>
    </row>
    <row r="17" ht="30" customHeight="1" spans="1:14" x14ac:dyDescent="0.25">
      <c r="B17" s="55" t="s">
        <v>59</v>
      </c>
      <c r="C17" s="116"/>
      <c r="D17" s="109" t="s">
        <v>58</v>
      </c>
      <c r="E17" s="110">
        <v>6</v>
      </c>
      <c r="F17" s="110"/>
      <c r="G17" s="110"/>
      <c r="H17" s="110"/>
      <c r="I17" s="110"/>
      <c r="J17" s="110"/>
      <c r="K17" s="110"/>
      <c r="L17" s="112"/>
      <c r="M17" s="110">
        <f>M15*0.06</f>
      </c>
      <c r="N17" s="109"/>
    </row>
    <row r="18" ht="30" customHeight="1" spans="1:14" x14ac:dyDescent="0.25">
      <c r="B18" s="125" t="s">
        <v>60</v>
      </c>
      <c r="C18" s="126"/>
      <c r="D18" s="123"/>
      <c r="E18" s="123"/>
      <c r="F18" s="127"/>
      <c r="G18" s="121"/>
      <c r="H18" s="123"/>
      <c r="I18" s="121"/>
      <c r="J18" s="123"/>
      <c r="K18" s="121"/>
      <c r="L18" s="123"/>
      <c r="M18" s="121">
        <f>SUM(M15:M17)</f>
      </c>
      <c r="N18" s="123"/>
    </row>
    <row r="19" ht="30" customHeight="1" spans="1:14" x14ac:dyDescent="0.25">
      <c r="B19" s="128" t="s">
        <v>61</v>
      </c>
      <c r="C19" s="129"/>
      <c r="D19" s="123"/>
      <c r="E19" s="123"/>
      <c r="F19" s="127"/>
      <c r="G19" s="123"/>
      <c r="H19" s="123"/>
      <c r="I19" s="123"/>
      <c r="J19" s="123"/>
      <c r="K19" s="123"/>
      <c r="L19" s="123"/>
      <c r="M19" s="130">
        <f>FLOOR(M18,100000)</f>
      </c>
      <c r="N19" s="131" t="s">
        <v>62</v>
      </c>
    </row>
    <row r="20" ht="27" customHeight="1" x14ac:dyDescent="0.25"/>
    <row r="21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71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2026-04-13T08:20:05Z</dcterms:modified>
</cp:coreProperties>
</file>