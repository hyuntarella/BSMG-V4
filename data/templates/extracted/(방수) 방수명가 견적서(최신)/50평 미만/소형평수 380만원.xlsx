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5EF6B12C-42BD-4361-8931-7DF92D288A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6" r:id="rId1"/>
    <sheet name="Sheet2" sheetId="3" r:id="rId2"/>
    <sheet name="Config" sheetId="4" state="hidden" r:id="rId3"/>
  </sheets>
  <definedNames>
    <definedName name="_xlnm.Print_Area" localSheetId="0">Sheet1!$B$1:$R$26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M17" i="3" l="1"/>
  <c r="L17" i="3"/>
  <c r="M16" i="3"/>
  <c r="L16" i="3"/>
  <c r="M8" i="3"/>
  <c r="L8" i="3"/>
  <c r="L15" i="3"/>
  <c r="M15" i="3"/>
  <c r="L13" i="3"/>
  <c r="I13" i="3"/>
  <c r="G13" i="3"/>
  <c r="M14" i="3" l="1"/>
  <c r="M13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K14" i="6" s="1"/>
  <c r="M22" i="3" l="1"/>
  <c r="K18" i="6" s="1"/>
  <c r="E11" i="6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<sst xmlns="http://schemas.openxmlformats.org/spreadsheetml/2006/main" count="90" uniqueCount="71">
  <si>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</si>
  <si>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</si>
  <si>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</si>
  <si>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</si>
  <si>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</si>
  <si>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</si>
  <si>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</si>
  <si>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</si>
  <si>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</si>
  <si>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</si>
  <si>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</si>
  <si>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</si>
  <si>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</si>
  <si>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</si>
  <si>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</si>
  <si>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</si>
  <si>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</si>
  <si>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</si>
  <si>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</si>
  <si>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</si>
  <si>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</si>
  <si>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</si>
  <si>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</si>
  <si>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</si>
  <si>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</si>
  <si>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</si>
  <si>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</si>
  <si>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</si>
  <si>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</si>
  <si>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</si>
  <si>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</si>
  <si>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</si>
  <si>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</si>
  <si>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</si>
  <si>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</si>
  <si>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</si>
  <si>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</si>
  <si>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</si>
  <si>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</si>
  <si>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</si>
  <si>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</si>
  <si>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</si>
  <si>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</si>
  <si>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</si>
  <si>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</si>
  <si>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</si>
  <si>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</si>
  <si>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</si>
  <si>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</si>
  <si>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</si>
  <si>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</si>
  <si>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</si>
  <si>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</si>
  <si>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</si>
  <si>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</si>
  <si>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</si>
  <si>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</si>
  <si>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</si>
  <si>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</si>
  <si>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</si>
  <si>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</si>
  <si>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</si>
  <si>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</si>
  <si>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</si>
  <si>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</si>
  <si>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</si>
  <si>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</si>
  <si>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010.5379.3587</t>
    <phoneticPr fontId="5" type="noConversion"/>
  </si>
  <si>
    <t>Brand Collaborations</t>
    <phoneticPr fontId="5" type="noConversion"/>
  </si>
  <si>
    <r>
      <rPr>
        <sz val="12"/>
        <color theme="1"/>
        <rFont val="맑은 고딕"/>
        <family val="2"/>
        <charset val="129"/>
      </rPr>
      <t xml:space="preserve"> 이중복합방수</t>
    </r>
    <r>
      <rPr>
        <sz val="12"/>
        <color theme="1"/>
        <rFont val="Arial"/>
        <family val="2"/>
      </rPr>
      <t xml:space="preserve"> 3.8mm</t>
    </r>
    <phoneticPr fontId="5" type="noConversion"/>
  </si>
  <si>
    <t>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</si>
</sst>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0" fontId="10" fillId="7" borderId="50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178" fontId="6" fillId="0" borderId="37" xfId="0" applyNumberFormat="1" applyFont="1" applyBorder="1" applyAlignment="1">
      <alignment horizontal="left" vertical="center"/>
    </xf>
    <xf numFmtId="178" fontId="6" fillId="0" borderId="36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8" xfId="0" applyFont="1" applyBorder="1" applyAlignment="1">
      <alignment vertical="center"/>
    </xf>
    <xf numFmtId="0" fontId="12" fillId="0" borderId="48" xfId="0" applyFont="1" applyBorder="1"/>
    <xf numFmtId="0" fontId="12" fillId="0" borderId="47" xfId="0" applyFont="1" applyBorder="1"/>
    <xf numFmtId="0" fontId="12" fillId="0" borderId="3" xfId="0" applyFont="1" applyBorder="1"/>
    <xf numFmtId="0" fontId="6" fillId="0" borderId="13" xfId="0" applyFont="1" applyBorder="1" applyAlignment="1">
      <alignment vertical="center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6" fillId="0" borderId="7" xfId="0" applyFont="1" applyBorder="1"/>
    <xf numFmtId="0" fontId="7" fillId="7" borderId="45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6" fillId="0" borderId="25" xfId="0" applyFont="1" applyBorder="1" applyAlignment="1">
      <alignment vertical="center" wrapText="1"/>
    </xf>
    <xf numFmtId="0" fontId="12" fillId="0" borderId="26" xfId="0" applyFont="1" applyBorder="1"/>
    <xf numFmtId="0" fontId="12" fillId="0" borderId="27" xfId="0" applyFont="1" applyBorder="1"/>
    <xf numFmtId="0" fontId="12" fillId="0" borderId="20" xfId="0" applyFont="1" applyBorder="1"/>
    <xf numFmtId="0" fontId="6" fillId="0" borderId="0" xfId="0" applyFont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15" xfId="0" applyFont="1" applyBorder="1"/>
    <xf numFmtId="0" fontId="6" fillId="0" borderId="35" xfId="0" applyFont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DFD9ECA5-17E3-4090-ADF4-6B62AD057E5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A8E492A-5443-4D7A-9A9D-ED8E7BF1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32657</xdr:colOff>
      <xdr:row>0</xdr:row>
      <xdr:rowOff>152400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9904C27-1CA8-44DD-B0F6-455B9F07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1" y="152400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575D-93DA-4B09-85C5-1CC5BAB03B96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125" defaultRowHeight="16.5"/>
  <cols>
    <col min="2" max="2" width="11.25" bestFit="1" customWidth="1"/>
    <col min="3" max="3" width="1" customWidth="1"/>
    <col min="4" max="4" width="4.125" customWidth="1"/>
    <col min="5" max="5" width="35.75" customWidth="1"/>
    <col min="6" max="6" width="3" hidden="1" customWidth="1"/>
    <col min="7" max="7" width="6.875" customWidth="1"/>
    <col min="8" max="8" width="14.25" bestFit="1" customWidth="1"/>
    <col min="9" max="9" width="1" customWidth="1"/>
    <col min="10" max="10" width="16.125" customWidth="1"/>
    <col min="11" max="11" width="0.125" customWidth="1"/>
    <col min="12" max="12" width="15.25" bestFit="1" customWidth="1"/>
    <col min="13" max="13" width="1" style="1" customWidth="1"/>
    <col min="14" max="14" width="25.25" customWidth="1"/>
    <col min="15" max="15" width="7" customWidth="1"/>
    <col min="16" max="16" width="1" customWidth="1"/>
    <col min="18" max="18" width="3.75" customWidth="1"/>
  </cols>
  <sheetData>
    <row r="1" spans="1:41" ht="21.75" customHeight="1">
      <c r="A1" s="2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59" t="s">
        <v>2</v>
      </c>
      <c r="C6" s="20"/>
      <c r="D6" s="77">
        <v>26030901</v>
      </c>
      <c r="E6" s="77"/>
      <c r="F6" s="77"/>
      <c r="G6" s="21"/>
      <c r="H6" s="22" t="s">
        <v>3</v>
      </c>
      <c r="I6" s="23"/>
      <c r="J6" s="78" t="s">
        <v>4</v>
      </c>
      <c r="K6" s="78"/>
      <c r="L6" s="22" t="s">
        <v>5</v>
      </c>
      <c r="M6" s="23"/>
      <c r="N6" s="24" t="s">
        <v>6</v>
      </c>
      <c r="O6" s="22" t="s">
        <v>7</v>
      </c>
      <c r="P6" s="23"/>
      <c r="Q6" s="78" t="s">
        <v>8</v>
      </c>
      <c r="R6" s="78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58" t="s">
        <v>9</v>
      </c>
      <c r="C7" s="27"/>
      <c r="D7" s="79">
        <v>46090</v>
      </c>
      <c r="E7" s="79"/>
      <c r="F7" s="80"/>
      <c r="G7" s="21"/>
      <c r="H7" s="25" t="s">
        <v>10</v>
      </c>
      <c r="I7" s="26"/>
      <c r="J7" s="81" t="s">
        <v>11</v>
      </c>
      <c r="K7" s="81"/>
      <c r="L7" s="25" t="s">
        <v>12</v>
      </c>
      <c r="M7" s="26"/>
      <c r="N7" s="82" t="s">
        <v>13</v>
      </c>
      <c r="O7" s="82"/>
      <c r="P7" s="82"/>
      <c r="Q7" s="82"/>
      <c r="R7" s="8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58" t="s">
        <v>14</v>
      </c>
      <c r="C8" s="27"/>
      <c r="D8" s="83" t="s">
        <v>59</v>
      </c>
      <c r="E8" s="84"/>
      <c r="F8" s="85"/>
      <c r="G8" s="21"/>
      <c r="H8" s="25" t="s">
        <v>15</v>
      </c>
      <c r="I8" s="26"/>
      <c r="J8" s="81" t="s">
        <v>67</v>
      </c>
      <c r="K8" s="86"/>
      <c r="L8" s="25" t="s">
        <v>16</v>
      </c>
      <c r="M8" s="26"/>
      <c r="N8" s="82" t="s">
        <v>17</v>
      </c>
      <c r="O8" s="82"/>
      <c r="P8" s="82"/>
      <c r="Q8" s="82"/>
      <c r="R8" s="8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57" t="s">
        <v>18</v>
      </c>
      <c r="C9" s="27"/>
      <c r="D9" s="87" t="s">
        <v>19</v>
      </c>
      <c r="E9" s="87"/>
      <c r="F9" s="87"/>
      <c r="G9" s="21"/>
      <c r="H9" s="28" t="s">
        <v>20</v>
      </c>
      <c r="I9" s="29"/>
      <c r="J9" s="88" t="s">
        <v>66</v>
      </c>
      <c r="K9" s="89"/>
      <c r="L9" s="89"/>
      <c r="M9" s="89"/>
      <c r="N9" s="89"/>
      <c r="O9" s="89"/>
      <c r="P9" s="89"/>
      <c r="Q9" s="89"/>
      <c r="R9" s="8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7.25" thickBot="1">
      <c r="A10" s="3"/>
      <c r="B10" s="30"/>
      <c r="C10" s="30"/>
      <c r="D10" s="30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90" t="s">
        <v>21</v>
      </c>
      <c r="C11" s="90"/>
      <c r="D11" s="90"/>
      <c r="E11" s="91" t="str">
        <f>"일금 "&amp;NUMBERSTRING(K18,1)&amp;" 원정"&amp;TEXT(K18,"(₩#,###)")</f>
        <v>일금 사백이십만 원정(₩4,200,000)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7.25" thickBot="1">
      <c r="A12" s="2"/>
      <c r="B12" s="31"/>
      <c r="C12" s="31"/>
      <c r="D12" s="31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93" t="s">
        <v>22</v>
      </c>
      <c r="C13" s="94"/>
      <c r="D13" s="94"/>
      <c r="E13" s="95"/>
      <c r="F13" s="96" t="s">
        <v>23</v>
      </c>
      <c r="G13" s="95"/>
      <c r="H13" s="56" t="s">
        <v>24</v>
      </c>
      <c r="I13" s="97" t="s">
        <v>25</v>
      </c>
      <c r="J13" s="98"/>
      <c r="K13" s="99" t="s">
        <v>26</v>
      </c>
      <c r="L13" s="99"/>
      <c r="M13" s="99"/>
      <c r="N13" s="100"/>
      <c r="O13" s="99" t="s">
        <v>27</v>
      </c>
      <c r="P13" s="99"/>
      <c r="Q13" s="99"/>
      <c r="R13" s="99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112" t="str">
        <f>Sheet2!C3</f>
        <v xml:space="preserve"> 이중복합방수 3.8mm</v>
      </c>
      <c r="C14" s="107"/>
      <c r="D14" s="107"/>
      <c r="E14" s="108"/>
      <c r="F14" s="113" t="s">
        <v>28</v>
      </c>
      <c r="G14" s="108"/>
      <c r="H14" s="33">
        <v>1</v>
      </c>
      <c r="I14" s="114"/>
      <c r="J14" s="115"/>
      <c r="K14" s="116">
        <f>Sheet2!M21</f>
        <v>4272800</v>
      </c>
      <c r="L14" s="107"/>
      <c r="M14" s="107"/>
      <c r="N14" s="108"/>
      <c r="O14" s="117"/>
      <c r="P14" s="118"/>
      <c r="Q14" s="118"/>
      <c r="R14" s="119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01"/>
      <c r="C15" s="102"/>
      <c r="D15" s="102"/>
      <c r="E15" s="103"/>
      <c r="F15" s="104"/>
      <c r="G15" s="104"/>
      <c r="H15" s="34"/>
      <c r="I15" s="105"/>
      <c r="J15" s="104"/>
      <c r="K15" s="106"/>
      <c r="L15" s="107"/>
      <c r="M15" s="107"/>
      <c r="N15" s="108"/>
      <c r="O15" s="109"/>
      <c r="P15" s="110"/>
      <c r="Q15" s="110"/>
      <c r="R15" s="111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109"/>
      <c r="C16" s="110"/>
      <c r="D16" s="110"/>
      <c r="E16" s="111"/>
      <c r="F16" s="109"/>
      <c r="G16" s="111"/>
      <c r="H16" s="34"/>
      <c r="I16" s="109"/>
      <c r="J16" s="111"/>
      <c r="K16" s="106"/>
      <c r="L16" s="107"/>
      <c r="M16" s="107"/>
      <c r="N16" s="108"/>
      <c r="O16" s="109"/>
      <c r="P16" s="110"/>
      <c r="Q16" s="110"/>
      <c r="R16" s="111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109"/>
      <c r="C17" s="110"/>
      <c r="D17" s="110"/>
      <c r="E17" s="135"/>
      <c r="F17" s="104"/>
      <c r="G17" s="104"/>
      <c r="H17" s="34"/>
      <c r="I17" s="105"/>
      <c r="J17" s="104"/>
      <c r="K17" s="106"/>
      <c r="L17" s="107"/>
      <c r="M17" s="107"/>
      <c r="N17" s="108"/>
      <c r="O17" s="109"/>
      <c r="P17" s="110"/>
      <c r="Q17" s="110"/>
      <c r="R17" s="111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136" t="s">
        <v>29</v>
      </c>
      <c r="C18" s="137"/>
      <c r="D18" s="137"/>
      <c r="E18" s="138"/>
      <c r="F18" s="139"/>
      <c r="G18" s="140"/>
      <c r="H18" s="35"/>
      <c r="I18" s="136"/>
      <c r="J18" s="137"/>
      <c r="K18" s="141">
        <f>Sheet2!M22</f>
        <v>4200000</v>
      </c>
      <c r="L18" s="107"/>
      <c r="M18" s="107"/>
      <c r="N18" s="108"/>
      <c r="O18" s="136" t="s">
        <v>38</v>
      </c>
      <c r="P18" s="137"/>
      <c r="Q18" s="137"/>
      <c r="R18" s="137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120" t="s">
        <v>60</v>
      </c>
      <c r="C19" s="121"/>
      <c r="D19" s="126" t="s">
        <v>61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122"/>
      <c r="C20" s="123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122"/>
      <c r="C21" s="123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1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124"/>
      <c r="C22" s="125"/>
      <c r="D22" s="132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4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M7" sqref="M7:M14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60" t="s">
        <v>65</v>
      </c>
      <c r="C3" s="70" t="s">
        <v>69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</row>
    <row r="4" spans="1:18" ht="15" customHeight="1" thickBot="1">
      <c r="A4" s="2"/>
      <c r="D4" s="2"/>
      <c r="E4" s="2"/>
      <c r="F4" s="2"/>
    </row>
    <row r="5" spans="1:18" ht="31.9" customHeight="1" thickTop="1">
      <c r="A5" s="2"/>
      <c r="B5" s="61" t="s">
        <v>22</v>
      </c>
      <c r="C5" s="63" t="s">
        <v>23</v>
      </c>
      <c r="D5" s="63" t="s">
        <v>30</v>
      </c>
      <c r="E5" s="63" t="s">
        <v>24</v>
      </c>
      <c r="F5" s="73" t="s">
        <v>31</v>
      </c>
      <c r="G5" s="74"/>
      <c r="H5" s="73" t="s">
        <v>32</v>
      </c>
      <c r="I5" s="74"/>
      <c r="J5" s="73" t="s">
        <v>33</v>
      </c>
      <c r="K5" s="74"/>
      <c r="L5" s="73" t="s">
        <v>37</v>
      </c>
      <c r="M5" s="74"/>
      <c r="N5" s="55" t="s">
        <v>27</v>
      </c>
    </row>
    <row r="6" spans="1:18" ht="31.35" customHeight="1">
      <c r="A6" s="2"/>
      <c r="B6" s="62"/>
      <c r="C6" s="64"/>
      <c r="D6" s="64"/>
      <c r="E6" s="64"/>
      <c r="F6" s="67" t="s">
        <v>25</v>
      </c>
      <c r="G6" s="65" t="s">
        <v>26</v>
      </c>
      <c r="H6" s="67" t="s">
        <v>25</v>
      </c>
      <c r="I6" s="65" t="s">
        <v>26</v>
      </c>
      <c r="J6" s="67" t="s">
        <v>25</v>
      </c>
      <c r="K6" s="65" t="s">
        <v>26</v>
      </c>
      <c r="L6" s="68" t="s">
        <v>25</v>
      </c>
      <c r="M6" s="65" t="s">
        <v>26</v>
      </c>
      <c r="N6" s="66"/>
      <c r="O6" s="2"/>
      <c r="P6" s="2"/>
      <c r="Q6" s="2"/>
      <c r="R6" s="2"/>
    </row>
    <row r="7" spans="1:18" ht="30" customHeight="1">
      <c r="A7" s="2"/>
      <c r="B7" s="54" t="s">
        <v>62</v>
      </c>
      <c r="C7" s="43"/>
      <c r="D7" s="69" t="s">
        <v>70</v>
      </c>
      <c r="E7" s="16">
        <v>1</v>
      </c>
      <c r="F7" s="17"/>
      <c r="G7" s="16">
        <v>50000</v>
      </c>
      <c r="H7" s="17"/>
      <c r="I7" s="16">
        <v>100000</v>
      </c>
      <c r="J7" s="17"/>
      <c r="K7" s="17"/>
      <c r="L7" s="18">
        <v>150000</v>
      </c>
      <c r="M7" s="16">
        <f>SUM(K7+I7+G7)</f>
        <v>150000</v>
      </c>
      <c r="N7" s="40"/>
    </row>
    <row r="8" spans="1:18" ht="34.5">
      <c r="A8" s="2"/>
      <c r="B8" s="54" t="s">
        <v>63</v>
      </c>
      <c r="C8" s="43"/>
      <c r="D8" s="40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 t="shared" ref="M8" si="0">SUM(K8+I8+G8)</f>
        <v>0</v>
      </c>
      <c r="N8" s="40"/>
    </row>
    <row r="9" spans="1:18" ht="30" customHeight="1">
      <c r="A9" s="2"/>
      <c r="B9" s="44" t="s">
        <v>39</v>
      </c>
      <c r="C9" s="19"/>
      <c r="D9" s="40" t="s">
        <v>64</v>
      </c>
      <c r="E9" s="16">
        <v>1</v>
      </c>
      <c r="F9" s="17"/>
      <c r="G9" s="16">
        <v>90000</v>
      </c>
      <c r="H9" s="17"/>
      <c r="I9" s="16">
        <v>110000</v>
      </c>
      <c r="J9" s="17"/>
      <c r="K9" s="17"/>
      <c r="L9" s="18">
        <v>200000</v>
      </c>
      <c r="M9" s="16">
        <f t="shared" ref="M9:M12" si="1">SUM(K9+I9+G9)</f>
        <v>200000</v>
      </c>
      <c r="N9" s="40"/>
    </row>
    <row r="10" spans="1:18" ht="30" customHeight="1">
      <c r="A10" s="2"/>
      <c r="B10" s="45" t="s">
        <v>40</v>
      </c>
      <c r="C10" s="19" t="s">
        <v>36</v>
      </c>
      <c r="D10" s="69" t="s">
        <v>70</v>
      </c>
      <c r="E10" s="16">
        <v>1</v>
      </c>
      <c r="F10" s="17"/>
      <c r="G10" s="16">
        <v>900000</v>
      </c>
      <c r="H10" s="17"/>
      <c r="I10" s="16">
        <v>550000</v>
      </c>
      <c r="J10" s="17"/>
      <c r="K10" s="16">
        <v>50000</v>
      </c>
      <c r="L10" s="18">
        <v>1500000</v>
      </c>
      <c r="M10" s="16">
        <f t="shared" si="1"/>
        <v>1500000</v>
      </c>
      <c r="N10" s="40"/>
    </row>
    <row r="11" spans="1:18" ht="34.5">
      <c r="A11" s="2"/>
      <c r="B11" s="45" t="s">
        <v>41</v>
      </c>
      <c r="C11" s="19"/>
      <c r="D11" s="69" t="s">
        <v>70</v>
      </c>
      <c r="E11" s="16">
        <v>1</v>
      </c>
      <c r="F11" s="17"/>
      <c r="G11" s="16">
        <v>180000</v>
      </c>
      <c r="H11" s="17"/>
      <c r="I11" s="16">
        <v>220000</v>
      </c>
      <c r="J11" s="17"/>
      <c r="K11" s="17"/>
      <c r="L11" s="18">
        <v>400000</v>
      </c>
      <c r="M11" s="16">
        <f t="shared" si="1"/>
        <v>400000</v>
      </c>
      <c r="N11" s="40"/>
    </row>
    <row r="12" spans="1:18" ht="30" customHeight="1">
      <c r="A12" s="2"/>
      <c r="B12" s="44" t="s">
        <v>42</v>
      </c>
      <c r="C12" s="19" t="s">
        <v>43</v>
      </c>
      <c r="D12" s="69" t="s">
        <v>70</v>
      </c>
      <c r="E12" s="16">
        <v>1</v>
      </c>
      <c r="F12" s="17"/>
      <c r="G12" s="16">
        <v>700000</v>
      </c>
      <c r="H12" s="17"/>
      <c r="I12" s="16">
        <v>400000</v>
      </c>
      <c r="J12" s="17"/>
      <c r="K12" s="16">
        <v>50000</v>
      </c>
      <c r="L12" s="18">
        <v>1150000</v>
      </c>
      <c r="M12" s="16">
        <f t="shared" si="1"/>
        <v>1150000</v>
      </c>
      <c r="N12" s="40"/>
    </row>
    <row r="13" spans="1:18" ht="30" customHeight="1">
      <c r="B13" s="44" t="s">
        <v>44</v>
      </c>
      <c r="C13" s="19" t="s">
        <v>45</v>
      </c>
      <c r="D13" s="40" t="s">
        <v>35</v>
      </c>
      <c r="E13" s="16"/>
      <c r="F13" s="17">
        <v>5500</v>
      </c>
      <c r="G13" s="16">
        <f t="shared" ref="G13" si="2">E13*F13</f>
        <v>0</v>
      </c>
      <c r="H13" s="17">
        <v>4300</v>
      </c>
      <c r="I13" s="16">
        <f t="shared" ref="I13" si="3">H13*E13</f>
        <v>0</v>
      </c>
      <c r="J13" s="17"/>
      <c r="K13" s="16"/>
      <c r="L13" s="18">
        <f t="shared" ref="L13" si="4">J13+H13+F13</f>
        <v>9800</v>
      </c>
      <c r="M13" s="16">
        <f t="shared" ref="M13:M15" si="5">SUM(K13+I13+G13)</f>
        <v>0</v>
      </c>
      <c r="N13" s="40"/>
    </row>
    <row r="14" spans="1:18" ht="30" customHeight="1">
      <c r="B14" s="44" t="s">
        <v>46</v>
      </c>
      <c r="C14" s="19" t="s">
        <v>47</v>
      </c>
      <c r="D14" s="69" t="s">
        <v>70</v>
      </c>
      <c r="E14" s="16">
        <v>1</v>
      </c>
      <c r="F14" s="17"/>
      <c r="G14" s="16">
        <v>220000</v>
      </c>
      <c r="H14" s="17"/>
      <c r="I14" s="16">
        <v>180000</v>
      </c>
      <c r="J14" s="17"/>
      <c r="K14" s="17"/>
      <c r="L14" s="18">
        <v>400000</v>
      </c>
      <c r="M14" s="16">
        <f t="shared" si="5"/>
        <v>400000</v>
      </c>
      <c r="N14" s="40"/>
    </row>
    <row r="15" spans="1:18" ht="30" customHeight="1">
      <c r="B15" s="44" t="s">
        <v>48</v>
      </c>
      <c r="C15" s="19"/>
      <c r="D15" s="40" t="s">
        <v>49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 t="shared" si="5"/>
        <v>120000</v>
      </c>
      <c r="N15" s="40"/>
    </row>
    <row r="16" spans="1:18" ht="30" customHeight="1">
      <c r="B16" s="44" t="s">
        <v>50</v>
      </c>
      <c r="C16" s="19"/>
      <c r="D16" s="40" t="s">
        <v>51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 t="shared" ref="M16:M17" si="6">SUM(K16+I16+G16)</f>
        <v>0</v>
      </c>
      <c r="N16" s="40"/>
    </row>
    <row r="17" spans="2:14" ht="30" customHeight="1">
      <c r="B17" s="44" t="s">
        <v>52</v>
      </c>
      <c r="C17" s="19"/>
      <c r="D17" s="40" t="s">
        <v>51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 t="shared" si="6"/>
        <v>0</v>
      </c>
      <c r="N17" s="40"/>
    </row>
    <row r="18" spans="2:14" ht="30" customHeight="1">
      <c r="B18" s="46" t="s">
        <v>53</v>
      </c>
      <c r="C18" s="36"/>
      <c r="D18" s="37"/>
      <c r="E18" s="15"/>
      <c r="F18" s="15"/>
      <c r="G18" s="38">
        <f>SUM(G7:G17)</f>
        <v>2140000</v>
      </c>
      <c r="H18" s="47"/>
      <c r="I18" s="38">
        <f>SUM(I7:I17)</f>
        <v>1560000</v>
      </c>
      <c r="J18" s="15"/>
      <c r="K18" s="38">
        <f>SUM(K7:K17)</f>
        <v>220000</v>
      </c>
      <c r="L18" s="15"/>
      <c r="M18" s="15">
        <f>SUM(M7:M17)</f>
        <v>3920000</v>
      </c>
      <c r="N18" s="39"/>
    </row>
    <row r="19" spans="2:14" ht="34.5">
      <c r="B19" s="48" t="s">
        <v>54</v>
      </c>
      <c r="C19" s="19"/>
      <c r="D19" s="40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117600</v>
      </c>
      <c r="N19" s="40"/>
    </row>
    <row r="20" spans="2:14" ht="30" customHeight="1">
      <c r="B20" s="32" t="s">
        <v>55</v>
      </c>
      <c r="C20" s="19"/>
      <c r="D20" s="40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235200</v>
      </c>
      <c r="N20" s="40"/>
    </row>
    <row r="21" spans="2:14" ht="30" customHeight="1">
      <c r="B21" s="49" t="s">
        <v>56</v>
      </c>
      <c r="C21" s="50"/>
      <c r="D21" s="39"/>
      <c r="E21" s="39"/>
      <c r="F21" s="41"/>
      <c r="G21" s="38"/>
      <c r="H21" s="39"/>
      <c r="I21" s="38"/>
      <c r="J21" s="39"/>
      <c r="K21" s="38"/>
      <c r="L21" s="39"/>
      <c r="M21" s="38">
        <f>SUM(M18:M20)</f>
        <v>4272800</v>
      </c>
      <c r="N21" s="39"/>
    </row>
    <row r="22" spans="2:14" ht="30" customHeight="1">
      <c r="B22" s="51" t="s">
        <v>57</v>
      </c>
      <c r="C22" s="52"/>
      <c r="D22" s="39"/>
      <c r="E22" s="39"/>
      <c r="F22" s="41"/>
      <c r="G22" s="39"/>
      <c r="H22" s="39"/>
      <c r="I22" s="39"/>
      <c r="J22" s="39"/>
      <c r="K22" s="39"/>
      <c r="L22" s="39"/>
      <c r="M22" s="42">
        <f>FLOOR(M21, 100000)</f>
        <v>4200000</v>
      </c>
      <c r="N22" s="53" t="s">
        <v>58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Sheet2</vt:lpstr>
      <vt:lpstr>Config</vt:lpstr>
      <vt:lpstr>Sheet1!Print_Area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2026-03-16T06:26:38Z</dcterms:modified>
  <cp:category/>
  <cp:contentStatus/>
</cp:coreProperties>
</file>