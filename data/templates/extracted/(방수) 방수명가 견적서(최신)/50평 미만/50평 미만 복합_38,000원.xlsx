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미만/"/>
    </mc:Choice>
  </mc:AlternateContent>
  <xr:revisionPtr revIDLastSave="28" documentId="8_{3FCE9207-DDBD-48AD-A3FA-E7D82B1F527A}" xr6:coauthVersionLast="47" xr6:coauthVersionMax="47" xr10:uidLastSave="{EEF2AF8C-326D-482A-A25A-24D874E92AF0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5" l="1"/>
  <c r="B14" i="5"/>
  <c r="K18" i="5"/>
  <c r="K14" i="5"/>
  <c r="L8" i="3"/>
  <c r="M17" i="3"/>
  <c r="L17" i="3"/>
  <c r="M16" i="3"/>
  <c r="L16" i="3"/>
  <c r="M8" i="3"/>
  <c r="L15" i="3"/>
  <c r="M15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G7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<sst xmlns="http://schemas.openxmlformats.org/spreadsheetml/2006/main" count="90" uniqueCount="70">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</sst>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5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0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2" xfId="0" applyFont="1" applyBorder="1"/>
    <xf numFmtId="0" fontId="4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1" fillId="0" borderId="0" xfId="0" applyFont="1"/>
    <xf numFmtId="0" fontId="11" fillId="3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6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/>
    <xf numFmtId="0" fontId="6" fillId="4" borderId="8" xfId="0" applyFont="1" applyFill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6" fillId="0" borderId="25" xfId="0" applyFont="1" applyBorder="1" applyAlignment="1">
      <alignment vertical="center" wrapText="1"/>
    </xf>
    <xf numFmtId="0" fontId="13" fillId="0" borderId="26" xfId="0" applyFont="1" applyBorder="1"/>
    <xf numFmtId="0" fontId="13" fillId="0" borderId="27" xfId="0" applyFont="1" applyBorder="1"/>
    <xf numFmtId="0" fontId="13" fillId="0" borderId="20" xfId="0" applyFont="1" applyBorder="1"/>
    <xf numFmtId="0" fontId="6" fillId="0" borderId="0" xfId="0" applyFont="1"/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15" xfId="0" applyFont="1" applyBorder="1"/>
    <xf numFmtId="0" fontId="11" fillId="0" borderId="1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6" fillId="0" borderId="7" xfId="0" applyFont="1" applyBorder="1"/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13" fillId="0" borderId="3" xfId="0" applyFont="1" applyBorder="1"/>
    <xf numFmtId="0" fontId="6" fillId="0" borderId="19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7" fillId="7" borderId="46" xfId="0" applyFont="1" applyFill="1" applyBorder="1" applyAlignment="1">
      <alignment vertical="center"/>
    </xf>
    <xf numFmtId="0" fontId="13" fillId="0" borderId="47" xfId="0" applyFont="1" applyBorder="1"/>
    <xf numFmtId="0" fontId="13" fillId="0" borderId="48" xfId="0" applyFont="1" applyBorder="1"/>
    <xf numFmtId="0" fontId="6" fillId="0" borderId="48" xfId="0" applyFont="1" applyBorder="1" applyAlignment="1">
      <alignment vertical="center"/>
    </xf>
    <xf numFmtId="0" fontId="7" fillId="7" borderId="49" xfId="0" applyFont="1" applyFill="1" applyBorder="1" applyAlignment="1">
      <alignment vertical="center"/>
    </xf>
    <xf numFmtId="178" fontId="6" fillId="0" borderId="36" xfId="0" applyNumberFormat="1" applyFont="1" applyBorder="1" applyAlignment="1">
      <alignment horizontal="left" vertical="center"/>
    </xf>
    <xf numFmtId="178" fontId="6" fillId="0" borderId="37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2" fillId="7" borderId="50" xfId="0" applyFont="1" applyFill="1" applyBorder="1" applyAlignment="1">
      <alignment vertical="center"/>
    </xf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FA19A755-E8E8-4D24-B6C4-7E7395F421B8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9570" y="50920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3DB99C26-C1D4-4097-840F-9D80C91B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47" y="39200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239BC041-658C-468A-8B57-8E0A196F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9116-91DE-4D61-8EE7-EDD488306E94}">
  <sheetPr>
    <pageSetUpPr fitToPage="1"/>
  </sheetPr>
  <dimension ref="A1:AO59"/>
  <sheetViews>
    <sheetView view="pageLayout" topLeftCell="A4" zoomScale="57" zoomScaleNormal="85" zoomScalePageLayoutView="57" workbookViewId="0">
      <selection activeCell="T19" sqref="T19"/>
    </sheetView>
  </sheetViews>
  <sheetFormatPr defaultColWidth="9.09765625" defaultRowHeight="17.399999999999999"/>
  <cols>
    <col min="2" max="2" width="11.19921875" bestFit="1" customWidth="1"/>
    <col min="3" max="3" width="1" customWidth="1"/>
    <col min="4" max="4" width="4.09765625" customWidth="1"/>
    <col min="5" max="5" width="35.796875" customWidth="1"/>
    <col min="6" max="6" width="3" hidden="1" customWidth="1"/>
    <col min="7" max="7" width="6.8984375" customWidth="1"/>
    <col min="8" max="8" width="14.19921875" bestFit="1" customWidth="1"/>
    <col min="9" max="9" width="1" customWidth="1"/>
    <col min="10" max="10" width="16.09765625" customWidth="1"/>
    <col min="11" max="11" width="9.765625E-2" customWidth="1"/>
    <col min="12" max="12" width="13.09765625" customWidth="1"/>
    <col min="13" max="13" width="1" style="1" customWidth="1"/>
    <col min="14" max="14" width="25.19921875" customWidth="1"/>
    <col min="15" max="15" width="7" customWidth="1"/>
    <col min="16" max="16" width="1" customWidth="1"/>
    <col min="18" max="18" width="3.69921875" customWidth="1"/>
  </cols>
  <sheetData>
    <row r="1" spans="1:41" ht="21.75" customHeight="1">
      <c r="A1" s="2"/>
      <c r="B1" s="95" t="s">
        <v>0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" customHeight="1">
      <c r="A2" s="2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" customHeight="1">
      <c r="A3" s="2"/>
      <c r="B3" s="2"/>
      <c r="C3" s="2"/>
      <c r="D3" s="2"/>
      <c r="E3" s="2"/>
      <c r="F3" s="2"/>
      <c r="G3" s="2"/>
      <c r="H3" s="11"/>
      <c r="I3" s="11"/>
      <c r="J3" s="11"/>
      <c r="K3" s="11"/>
      <c r="L3" s="2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6.5" customHeight="1">
      <c r="A4" s="3"/>
      <c r="B4" s="3"/>
      <c r="C4" s="3"/>
      <c r="D4" s="3"/>
      <c r="E4" s="3"/>
      <c r="F4" s="2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1" customHeight="1" thickBot="1">
      <c r="A5" s="3"/>
      <c r="B5" s="4"/>
      <c r="C5" s="4"/>
      <c r="D5" s="4"/>
      <c r="E5" s="4"/>
      <c r="F5" s="5"/>
      <c r="G5" s="7"/>
      <c r="H5" s="8" t="s">
        <v>1</v>
      </c>
      <c r="I5" s="8"/>
      <c r="J5" s="9"/>
      <c r="K5" s="9"/>
      <c r="L5" s="9"/>
      <c r="M5" s="8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7" customHeight="1" thickTop="1">
      <c r="B6" s="130" t="s">
        <v>2</v>
      </c>
      <c r="C6" s="27"/>
      <c r="D6" s="129">
        <v>26030901</v>
      </c>
      <c r="E6" s="129"/>
      <c r="F6" s="129"/>
      <c r="G6" s="28"/>
      <c r="H6" s="29" t="s">
        <v>3</v>
      </c>
      <c r="I6" s="30"/>
      <c r="J6" s="102" t="s">
        <v>4</v>
      </c>
      <c r="K6" s="102"/>
      <c r="L6" s="29" t="s">
        <v>5</v>
      </c>
      <c r="M6" s="30"/>
      <c r="N6" s="31" t="s">
        <v>6</v>
      </c>
      <c r="O6" s="29" t="s">
        <v>7</v>
      </c>
      <c r="P6" s="30"/>
      <c r="Q6" s="102" t="s">
        <v>8</v>
      </c>
      <c r="R6" s="10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26.25" customHeight="1">
      <c r="A7" s="3"/>
      <c r="B7" s="126" t="s">
        <v>9</v>
      </c>
      <c r="C7" s="34"/>
      <c r="D7" s="128">
        <v>46090</v>
      </c>
      <c r="E7" s="128"/>
      <c r="F7" s="127"/>
      <c r="G7" s="28"/>
      <c r="H7" s="32" t="s">
        <v>10</v>
      </c>
      <c r="I7" s="33"/>
      <c r="J7" s="100" t="s">
        <v>11</v>
      </c>
      <c r="K7" s="100"/>
      <c r="L7" s="32" t="s">
        <v>12</v>
      </c>
      <c r="M7" s="33"/>
      <c r="N7" s="99" t="s">
        <v>13</v>
      </c>
      <c r="O7" s="99"/>
      <c r="P7" s="99"/>
      <c r="Q7" s="99"/>
      <c r="R7" s="99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6.25" customHeight="1">
      <c r="A8" s="3"/>
      <c r="B8" s="126" t="s">
        <v>14</v>
      </c>
      <c r="C8" s="34"/>
      <c r="D8" s="125" t="s">
        <v>60</v>
      </c>
      <c r="E8" s="124"/>
      <c r="F8" s="123"/>
      <c r="G8" s="28"/>
      <c r="H8" s="32" t="s">
        <v>15</v>
      </c>
      <c r="I8" s="33"/>
      <c r="J8" s="100" t="s">
        <v>67</v>
      </c>
      <c r="K8" s="101"/>
      <c r="L8" s="32" t="s">
        <v>16</v>
      </c>
      <c r="M8" s="33"/>
      <c r="N8" s="99" t="s">
        <v>17</v>
      </c>
      <c r="O8" s="99"/>
      <c r="P8" s="99"/>
      <c r="Q8" s="99"/>
      <c r="R8" s="99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27.75" customHeight="1">
      <c r="A9" s="3"/>
      <c r="B9" s="122" t="s">
        <v>18</v>
      </c>
      <c r="C9" s="34"/>
      <c r="D9" s="121" t="s">
        <v>19</v>
      </c>
      <c r="E9" s="121"/>
      <c r="F9" s="121"/>
      <c r="G9" s="28"/>
      <c r="H9" s="35" t="s">
        <v>20</v>
      </c>
      <c r="I9" s="36"/>
      <c r="J9" s="97" t="s">
        <v>66</v>
      </c>
      <c r="K9" s="98"/>
      <c r="L9" s="98"/>
      <c r="M9" s="98"/>
      <c r="N9" s="98"/>
      <c r="O9" s="98"/>
      <c r="P9" s="98"/>
      <c r="Q9" s="98"/>
      <c r="R9" s="98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8" thickBot="1">
      <c r="A10" s="3"/>
      <c r="B10" s="37"/>
      <c r="C10" s="37"/>
      <c r="D10" s="37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50.25" customHeight="1" thickTop="1">
      <c r="A11" s="3"/>
      <c r="B11" s="120" t="s">
        <v>21</v>
      </c>
      <c r="C11" s="120"/>
      <c r="D11" s="120"/>
      <c r="E11" s="96" t="str">
        <f>"일금 "&amp;NUMBERSTRING(K18,1)&amp;" 원정"&amp;TEXT(K18,"(₩#,###)")</f>
        <v>일금 사백이십만 원정(₩4,200,000)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8" thickBot="1">
      <c r="A12" s="2"/>
      <c r="B12" s="38"/>
      <c r="C12" s="38"/>
      <c r="D12" s="38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9.25" customHeight="1" thickTop="1">
      <c r="A13" s="2"/>
      <c r="B13" s="119" t="s">
        <v>22</v>
      </c>
      <c r="C13" s="118"/>
      <c r="D13" s="118"/>
      <c r="E13" s="116"/>
      <c r="F13" s="117" t="s">
        <v>23</v>
      </c>
      <c r="G13" s="116"/>
      <c r="H13" s="115" t="s">
        <v>24</v>
      </c>
      <c r="I13" s="114" t="s">
        <v>25</v>
      </c>
      <c r="J13" s="113"/>
      <c r="K13" s="111" t="s">
        <v>26</v>
      </c>
      <c r="L13" s="111"/>
      <c r="M13" s="111"/>
      <c r="N13" s="112"/>
      <c r="O13" s="111" t="s">
        <v>27</v>
      </c>
      <c r="P13" s="111"/>
      <c r="Q13" s="111"/>
      <c r="R13" s="111"/>
      <c r="S13" s="1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28.5" customHeight="1">
      <c r="A14" s="2"/>
      <c r="B14" s="85" t="str">
        <f>Sheet2!C3</f>
        <v>옥상 이중복합방수 3.8mm (제 1안)</v>
      </c>
      <c r="C14" s="63"/>
      <c r="D14" s="63"/>
      <c r="E14" s="64"/>
      <c r="F14" s="86" t="s">
        <v>28</v>
      </c>
      <c r="G14" s="64"/>
      <c r="H14" s="40">
        <v>1</v>
      </c>
      <c r="I14" s="87"/>
      <c r="J14" s="88"/>
      <c r="K14" s="89">
        <f>Sheet2!M21</f>
        <v>4272800</v>
      </c>
      <c r="L14" s="63"/>
      <c r="M14" s="63"/>
      <c r="N14" s="64"/>
      <c r="O14" s="90"/>
      <c r="P14" s="91"/>
      <c r="Q14" s="91"/>
      <c r="R14" s="92"/>
      <c r="S14" s="1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25.5" customHeight="1">
      <c r="A15" s="2"/>
      <c r="B15" s="110"/>
      <c r="C15" s="109"/>
      <c r="D15" s="109"/>
      <c r="E15" s="108"/>
      <c r="F15" s="94"/>
      <c r="G15" s="94"/>
      <c r="H15" s="41"/>
      <c r="I15" s="93"/>
      <c r="J15" s="94"/>
      <c r="K15" s="83"/>
      <c r="L15" s="63"/>
      <c r="M15" s="63"/>
      <c r="N15" s="64"/>
      <c r="O15" s="81"/>
      <c r="P15" s="84"/>
      <c r="Q15" s="84"/>
      <c r="R15" s="82"/>
      <c r="S15" s="1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25.5" customHeight="1">
      <c r="A16" s="2"/>
      <c r="B16" s="81"/>
      <c r="C16" s="84"/>
      <c r="D16" s="84"/>
      <c r="E16" s="82"/>
      <c r="F16" s="81"/>
      <c r="G16" s="82"/>
      <c r="H16" s="41"/>
      <c r="I16" s="81"/>
      <c r="J16" s="82"/>
      <c r="K16" s="83"/>
      <c r="L16" s="63"/>
      <c r="M16" s="63"/>
      <c r="N16" s="64"/>
      <c r="O16" s="81"/>
      <c r="P16" s="84"/>
      <c r="Q16" s="84"/>
      <c r="R16" s="8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25.5" customHeight="1">
      <c r="A17" s="2"/>
      <c r="B17" s="81"/>
      <c r="C17" s="84"/>
      <c r="D17" s="84"/>
      <c r="E17" s="107"/>
      <c r="F17" s="94"/>
      <c r="G17" s="94"/>
      <c r="H17" s="41"/>
      <c r="I17" s="93"/>
      <c r="J17" s="94"/>
      <c r="K17" s="83"/>
      <c r="L17" s="63"/>
      <c r="M17" s="63"/>
      <c r="N17" s="64"/>
      <c r="O17" s="81"/>
      <c r="P17" s="84"/>
      <c r="Q17" s="84"/>
      <c r="R17" s="82"/>
      <c r="S17" s="1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27" customHeight="1">
      <c r="A18" s="2"/>
      <c r="B18" s="60" t="s">
        <v>29</v>
      </c>
      <c r="C18" s="61"/>
      <c r="D18" s="61"/>
      <c r="E18" s="106"/>
      <c r="F18" s="105"/>
      <c r="G18" s="104"/>
      <c r="H18" s="42"/>
      <c r="I18" s="60"/>
      <c r="J18" s="61"/>
      <c r="K18" s="62">
        <f>Sheet2!M22</f>
        <v>4200000</v>
      </c>
      <c r="L18" s="63"/>
      <c r="M18" s="63"/>
      <c r="N18" s="64"/>
      <c r="O18" s="60" t="s">
        <v>38</v>
      </c>
      <c r="P18" s="61"/>
      <c r="Q18" s="61"/>
      <c r="R18" s="61"/>
      <c r="S18" s="1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26.25" customHeight="1">
      <c r="A19" s="2"/>
      <c r="B19" s="74" t="s">
        <v>61</v>
      </c>
      <c r="C19" s="75"/>
      <c r="D19" s="65" t="s">
        <v>62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7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9.5" customHeight="1">
      <c r="A20" s="2"/>
      <c r="B20" s="76"/>
      <c r="C20" s="77"/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70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21" customHeight="1">
      <c r="A21" s="2"/>
      <c r="B21" s="76"/>
      <c r="C21" s="77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70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/>
      <c r="B22" s="78"/>
      <c r="C22" s="79"/>
      <c r="D22" s="71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/>
      <c r="B24" s="14"/>
      <c r="C24" s="14"/>
      <c r="D24" s="14"/>
      <c r="E24" s="12" t="s">
        <v>69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 s="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 s="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 s="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 s="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</sheetData>
  <mergeCells count="48">
    <mergeCell ref="B1:R2"/>
    <mergeCell ref="B11:D11"/>
    <mergeCell ref="E11:R11"/>
    <mergeCell ref="J9:R9"/>
    <mergeCell ref="N7:R7"/>
    <mergeCell ref="N8:R8"/>
    <mergeCell ref="D6:F6"/>
    <mergeCell ref="D7:F7"/>
    <mergeCell ref="D8:F8"/>
    <mergeCell ref="D9:F9"/>
    <mergeCell ref="J6:K6"/>
    <mergeCell ref="J7:K7"/>
    <mergeCell ref="J8:K8"/>
    <mergeCell ref="Q6:R6"/>
    <mergeCell ref="E10:R10"/>
    <mergeCell ref="B15:E15"/>
    <mergeCell ref="F15:G15"/>
    <mergeCell ref="I15:J15"/>
    <mergeCell ref="K15:N15"/>
    <mergeCell ref="O15:R15"/>
    <mergeCell ref="B17:E17"/>
    <mergeCell ref="F17:G17"/>
    <mergeCell ref="I17:J17"/>
    <mergeCell ref="K17:N17"/>
    <mergeCell ref="O17:R17"/>
    <mergeCell ref="E12:R12"/>
    <mergeCell ref="F16:G16"/>
    <mergeCell ref="I16:J16"/>
    <mergeCell ref="K16:N16"/>
    <mergeCell ref="O16:R16"/>
    <mergeCell ref="B14:E14"/>
    <mergeCell ref="F14:G14"/>
    <mergeCell ref="I14:J14"/>
    <mergeCell ref="K14:N14"/>
    <mergeCell ref="O14:R14"/>
    <mergeCell ref="B13:E13"/>
    <mergeCell ref="F13:G13"/>
    <mergeCell ref="I13:J13"/>
    <mergeCell ref="K13:N13"/>
    <mergeCell ref="B18:E18"/>
    <mergeCell ref="F18:G18"/>
    <mergeCell ref="I18:J18"/>
    <mergeCell ref="K18:N18"/>
    <mergeCell ref="D19:R22"/>
    <mergeCell ref="B19:C22"/>
    <mergeCell ref="O18:R18"/>
    <mergeCell ref="B16:E16"/>
    <mergeCell ref="O13:R13"/>
  </mergeCells>
  <phoneticPr fontId="5" type="noConversion"/>
  <pageMargins left="0.7" right="0.7" top="0.75" bottom="0.75" header="0.3" footer="0.3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B5" sqref="B5:N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2"/>
      <c r="D1" s="2"/>
      <c r="E1" s="2"/>
      <c r="F1" s="2"/>
    </row>
    <row r="2" spans="1:18" ht="30" customHeight="1" thickBot="1">
      <c r="A2" s="2"/>
      <c r="D2" s="2"/>
      <c r="E2" s="2"/>
      <c r="F2" s="2"/>
    </row>
    <row r="3" spans="1:18" ht="30" customHeight="1" thickTop="1" thickBot="1">
      <c r="A3" s="2"/>
      <c r="B3" s="131" t="s">
        <v>65</v>
      </c>
      <c r="C3" s="57" t="s">
        <v>68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9"/>
    </row>
    <row r="4" spans="1:18" ht="15" customHeight="1" thickBot="1">
      <c r="A4" s="2"/>
      <c r="D4" s="2"/>
      <c r="E4" s="2"/>
      <c r="F4" s="2"/>
    </row>
    <row r="5" spans="1:18" ht="31.95" customHeight="1" thickTop="1">
      <c r="A5" s="2"/>
      <c r="B5" s="132" t="s">
        <v>22</v>
      </c>
      <c r="C5" s="134" t="s">
        <v>23</v>
      </c>
      <c r="D5" s="134" t="s">
        <v>30</v>
      </c>
      <c r="E5" s="134" t="s">
        <v>24</v>
      </c>
      <c r="F5" s="111" t="s">
        <v>31</v>
      </c>
      <c r="G5" s="113"/>
      <c r="H5" s="141" t="s">
        <v>32</v>
      </c>
      <c r="I5" s="142"/>
      <c r="J5" s="111" t="s">
        <v>33</v>
      </c>
      <c r="K5" s="113"/>
      <c r="L5" s="141" t="s">
        <v>37</v>
      </c>
      <c r="M5" s="142"/>
      <c r="N5" s="138" t="s">
        <v>27</v>
      </c>
    </row>
    <row r="6" spans="1:18" ht="31.35" customHeight="1">
      <c r="A6" s="2"/>
      <c r="B6" s="133"/>
      <c r="C6" s="135"/>
      <c r="D6" s="135"/>
      <c r="E6" s="135"/>
      <c r="F6" s="139" t="s">
        <v>25</v>
      </c>
      <c r="G6" s="140" t="s">
        <v>26</v>
      </c>
      <c r="H6" s="135" t="s">
        <v>25</v>
      </c>
      <c r="I6" s="136" t="s">
        <v>26</v>
      </c>
      <c r="J6" s="139" t="s">
        <v>25</v>
      </c>
      <c r="K6" s="140" t="s">
        <v>26</v>
      </c>
      <c r="L6" s="143" t="s">
        <v>25</v>
      </c>
      <c r="M6" s="136" t="s">
        <v>26</v>
      </c>
      <c r="N6" s="137"/>
      <c r="O6" s="2"/>
      <c r="P6" s="2"/>
      <c r="Q6" s="2"/>
      <c r="R6" s="2"/>
    </row>
    <row r="7" spans="1:18" ht="30" customHeight="1">
      <c r="A7" s="2"/>
      <c r="B7" s="43" t="s">
        <v>39</v>
      </c>
      <c r="C7" s="44"/>
      <c r="D7" s="24" t="s">
        <v>35</v>
      </c>
      <c r="E7" s="16">
        <v>100</v>
      </c>
      <c r="F7" s="17">
        <v>300</v>
      </c>
      <c r="G7" s="16">
        <f>E7*F7</f>
        <v>30000</v>
      </c>
      <c r="H7" s="17">
        <v>700</v>
      </c>
      <c r="I7" s="16">
        <f>H7*E7</f>
        <v>70000</v>
      </c>
      <c r="J7" s="17"/>
      <c r="K7" s="17"/>
      <c r="L7" s="18">
        <f>J7+H7+F7</f>
        <v>1000</v>
      </c>
      <c r="M7" s="16">
        <f>SUM(K7+I7+G7)</f>
        <v>100000</v>
      </c>
      <c r="N7" s="24"/>
    </row>
    <row r="8" spans="1:18" ht="38.4">
      <c r="A8" s="2"/>
      <c r="B8" s="55" t="s">
        <v>63</v>
      </c>
      <c r="C8" s="44"/>
      <c r="D8" s="56" t="s">
        <v>64</v>
      </c>
      <c r="E8" s="16">
        <v>1</v>
      </c>
      <c r="F8" s="17"/>
      <c r="G8" s="16"/>
      <c r="H8" s="17"/>
      <c r="I8" s="16"/>
      <c r="J8" s="17"/>
      <c r="K8" s="17"/>
      <c r="L8" s="18">
        <f>SUM(K8+I8+G8)</f>
        <v>0</v>
      </c>
      <c r="M8" s="16">
        <f>SUM(K8+I8+G8)</f>
        <v>0</v>
      </c>
      <c r="N8" s="24"/>
    </row>
    <row r="9" spans="1:18" ht="30" customHeight="1">
      <c r="A9" s="2"/>
      <c r="B9" s="45" t="s">
        <v>40</v>
      </c>
      <c r="C9" s="19"/>
      <c r="D9" s="24" t="s">
        <v>35</v>
      </c>
      <c r="E9" s="16">
        <v>100</v>
      </c>
      <c r="F9" s="17">
        <v>700</v>
      </c>
      <c r="G9" s="16">
        <f t="shared" ref="G9:G12" si="0">E9*F9</f>
        <v>70000</v>
      </c>
      <c r="H9" s="17">
        <v>1300</v>
      </c>
      <c r="I9" s="16">
        <f t="shared" ref="I9:I12" si="1">H9*E9</f>
        <v>130000</v>
      </c>
      <c r="J9" s="17"/>
      <c r="K9" s="17"/>
      <c r="L9" s="18">
        <f t="shared" ref="L9:L12" si="2">J9+H9+F9</f>
        <v>2000</v>
      </c>
      <c r="M9" s="16">
        <f t="shared" ref="M9:M12" si="3">SUM(K9+I9+G9)</f>
        <v>200000</v>
      </c>
      <c r="N9" s="24"/>
    </row>
    <row r="10" spans="1:18" ht="30" customHeight="1">
      <c r="A10" s="2"/>
      <c r="B10" s="46" t="s">
        <v>41</v>
      </c>
      <c r="C10" s="19" t="s">
        <v>36</v>
      </c>
      <c r="D10" s="24" t="s">
        <v>35</v>
      </c>
      <c r="E10" s="16">
        <v>100</v>
      </c>
      <c r="F10" s="17">
        <v>9000</v>
      </c>
      <c r="G10" s="16">
        <f t="shared" si="0"/>
        <v>900000</v>
      </c>
      <c r="H10" s="17">
        <v>6000</v>
      </c>
      <c r="I10" s="16">
        <f t="shared" si="1"/>
        <v>600000</v>
      </c>
      <c r="J10" s="17">
        <v>500</v>
      </c>
      <c r="K10" s="16">
        <f>J10*E10</f>
        <v>50000</v>
      </c>
      <c r="L10" s="18">
        <f t="shared" si="2"/>
        <v>15500</v>
      </c>
      <c r="M10" s="16">
        <f t="shared" si="3"/>
        <v>1550000</v>
      </c>
      <c r="N10" s="24"/>
    </row>
    <row r="11" spans="1:18" ht="38.4">
      <c r="A11" s="2"/>
      <c r="B11" s="46" t="s">
        <v>42</v>
      </c>
      <c r="C11" s="19"/>
      <c r="D11" s="24" t="s">
        <v>35</v>
      </c>
      <c r="E11" s="16">
        <v>100</v>
      </c>
      <c r="F11" s="17">
        <v>1300</v>
      </c>
      <c r="G11" s="16">
        <f t="shared" si="0"/>
        <v>130000</v>
      </c>
      <c r="H11" s="17">
        <v>1700</v>
      </c>
      <c r="I11" s="16">
        <f t="shared" si="1"/>
        <v>170000</v>
      </c>
      <c r="J11" s="17"/>
      <c r="K11" s="17"/>
      <c r="L11" s="18">
        <f t="shared" si="2"/>
        <v>3000</v>
      </c>
      <c r="M11" s="16">
        <f t="shared" si="3"/>
        <v>300000</v>
      </c>
      <c r="N11" s="24"/>
    </row>
    <row r="12" spans="1:18" ht="30" customHeight="1">
      <c r="A12" s="2"/>
      <c r="B12" s="45" t="s">
        <v>43</v>
      </c>
      <c r="C12" s="19" t="s">
        <v>44</v>
      </c>
      <c r="D12" s="24" t="s">
        <v>35</v>
      </c>
      <c r="E12" s="16">
        <v>100</v>
      </c>
      <c r="F12" s="17">
        <v>7500</v>
      </c>
      <c r="G12" s="16">
        <f t="shared" si="0"/>
        <v>750000</v>
      </c>
      <c r="H12" s="17">
        <v>4500</v>
      </c>
      <c r="I12" s="16">
        <f t="shared" si="1"/>
        <v>450000</v>
      </c>
      <c r="J12" s="17">
        <v>500</v>
      </c>
      <c r="K12" s="16">
        <f>J12*E12</f>
        <v>50000</v>
      </c>
      <c r="L12" s="18">
        <f t="shared" si="2"/>
        <v>12500</v>
      </c>
      <c r="M12" s="16">
        <f t="shared" si="3"/>
        <v>1250000</v>
      </c>
      <c r="N12" s="24"/>
    </row>
    <row r="13" spans="1:18" ht="30" customHeight="1">
      <c r="B13" s="45" t="s">
        <v>45</v>
      </c>
      <c r="C13" s="19" t="s">
        <v>46</v>
      </c>
      <c r="D13" s="24" t="s">
        <v>35</v>
      </c>
      <c r="E13" s="16"/>
      <c r="F13" s="17">
        <v>5000</v>
      </c>
      <c r="G13" s="16">
        <f t="shared" ref="G13:G14" si="4">E13*F13</f>
        <v>0</v>
      </c>
      <c r="H13" s="17">
        <v>4300</v>
      </c>
      <c r="I13" s="16">
        <f t="shared" ref="I13:I14" si="5">H13*E13</f>
        <v>0</v>
      </c>
      <c r="J13" s="17">
        <v>500</v>
      </c>
      <c r="K13" s="16">
        <f>J13*E13</f>
        <v>0</v>
      </c>
      <c r="L13" s="18">
        <f t="shared" ref="L13:L14" si="6">J13+H13+F13</f>
        <v>9800</v>
      </c>
      <c r="M13" s="16">
        <f t="shared" ref="M13:M14" si="7">SUM(K13+I13+G13)</f>
        <v>0</v>
      </c>
      <c r="N13" s="24"/>
    </row>
    <row r="14" spans="1:18" ht="30" customHeight="1">
      <c r="B14" s="45" t="s">
        <v>47</v>
      </c>
      <c r="C14" s="19" t="s">
        <v>48</v>
      </c>
      <c r="D14" s="24" t="s">
        <v>35</v>
      </c>
      <c r="E14" s="16">
        <v>100</v>
      </c>
      <c r="F14" s="17">
        <v>2200</v>
      </c>
      <c r="G14" s="16">
        <f t="shared" si="4"/>
        <v>220000</v>
      </c>
      <c r="H14" s="17">
        <v>1800</v>
      </c>
      <c r="I14" s="16">
        <f t="shared" si="5"/>
        <v>180000</v>
      </c>
      <c r="J14" s="17"/>
      <c r="K14" s="17"/>
      <c r="L14" s="18">
        <f t="shared" si="6"/>
        <v>4000</v>
      </c>
      <c r="M14" s="16">
        <f t="shared" si="7"/>
        <v>400000</v>
      </c>
      <c r="N14" s="24"/>
    </row>
    <row r="15" spans="1:18" ht="30" customHeight="1">
      <c r="B15" s="45" t="s">
        <v>49</v>
      </c>
      <c r="C15" s="19"/>
      <c r="D15" s="24" t="s">
        <v>50</v>
      </c>
      <c r="E15" s="16">
        <v>1</v>
      </c>
      <c r="F15" s="16"/>
      <c r="G15" s="16"/>
      <c r="H15" s="16"/>
      <c r="I15" s="16"/>
      <c r="J15" s="16"/>
      <c r="K15" s="16">
        <v>120000</v>
      </c>
      <c r="L15" s="18">
        <f>SUM(K15+I15+G15)</f>
        <v>120000</v>
      </c>
      <c r="M15" s="16">
        <f>SUM(K15+I15+G15)</f>
        <v>120000</v>
      </c>
      <c r="N15" s="24"/>
    </row>
    <row r="16" spans="1:18" ht="30" customHeight="1">
      <c r="B16" s="45" t="s">
        <v>51</v>
      </c>
      <c r="C16" s="19"/>
      <c r="D16" s="24" t="s">
        <v>52</v>
      </c>
      <c r="E16" s="16">
        <v>1</v>
      </c>
      <c r="F16" s="16"/>
      <c r="G16" s="16"/>
      <c r="H16" s="16"/>
      <c r="I16" s="16"/>
      <c r="J16" s="16"/>
      <c r="K16" s="16"/>
      <c r="L16" s="18">
        <f>SUM(K16+I16+G16)</f>
        <v>0</v>
      </c>
      <c r="M16" s="16">
        <f>SUM(K16+I16+G16)</f>
        <v>0</v>
      </c>
      <c r="N16" s="24"/>
    </row>
    <row r="17" spans="2:14" ht="30" customHeight="1">
      <c r="B17" s="45" t="s">
        <v>53</v>
      </c>
      <c r="C17" s="19"/>
      <c r="D17" s="24" t="s">
        <v>52</v>
      </c>
      <c r="E17" s="16">
        <v>1</v>
      </c>
      <c r="F17" s="16"/>
      <c r="G17" s="16"/>
      <c r="H17" s="16"/>
      <c r="I17" s="16"/>
      <c r="J17" s="16"/>
      <c r="K17" s="16"/>
      <c r="L17" s="18">
        <f>SUM(K17+I17+G17)</f>
        <v>0</v>
      </c>
      <c r="M17" s="16">
        <f>SUM(K17+I17+G17)</f>
        <v>0</v>
      </c>
      <c r="N17" s="24"/>
    </row>
    <row r="18" spans="2:14" ht="30" customHeight="1">
      <c r="B18" s="47" t="s">
        <v>54</v>
      </c>
      <c r="C18" s="20"/>
      <c r="D18" s="21"/>
      <c r="E18" s="15"/>
      <c r="F18" s="15"/>
      <c r="G18" s="22">
        <f>SUM(G7:G17)</f>
        <v>2100000</v>
      </c>
      <c r="H18" s="48"/>
      <c r="I18" s="22">
        <f>SUM(I7:I17)</f>
        <v>1600000</v>
      </c>
      <c r="J18" s="15"/>
      <c r="K18" s="22">
        <f>SUM(K7:K17)</f>
        <v>220000</v>
      </c>
      <c r="L18" s="15"/>
      <c r="M18" s="15">
        <f>SUM(M7:M17)</f>
        <v>3920000</v>
      </c>
      <c r="N18" s="23"/>
    </row>
    <row r="19" spans="2:14" ht="38.4">
      <c r="B19" s="49" t="s">
        <v>55</v>
      </c>
      <c r="C19" s="19"/>
      <c r="D19" s="24" t="s">
        <v>34</v>
      </c>
      <c r="E19" s="16">
        <v>3</v>
      </c>
      <c r="F19" s="16"/>
      <c r="G19" s="16"/>
      <c r="H19" s="16"/>
      <c r="I19" s="16"/>
      <c r="J19" s="16"/>
      <c r="K19" s="16"/>
      <c r="L19" s="18"/>
      <c r="M19" s="16">
        <f>M18*0.03</f>
        <v>117600</v>
      </c>
      <c r="N19" s="24"/>
    </row>
    <row r="20" spans="2:14" ht="30" customHeight="1">
      <c r="B20" s="39" t="s">
        <v>56</v>
      </c>
      <c r="C20" s="19"/>
      <c r="D20" s="24" t="s">
        <v>34</v>
      </c>
      <c r="E20" s="16">
        <v>6</v>
      </c>
      <c r="F20" s="16"/>
      <c r="G20" s="16"/>
      <c r="H20" s="16"/>
      <c r="I20" s="16"/>
      <c r="J20" s="16"/>
      <c r="K20" s="16"/>
      <c r="L20" s="18"/>
      <c r="M20" s="16">
        <f>M18*0.06</f>
        <v>235200</v>
      </c>
      <c r="N20" s="24"/>
    </row>
    <row r="21" spans="2:14" ht="30" customHeight="1">
      <c r="B21" s="50" t="s">
        <v>57</v>
      </c>
      <c r="C21" s="51"/>
      <c r="D21" s="23"/>
      <c r="E21" s="23"/>
      <c r="F21" s="25"/>
      <c r="G21" s="22"/>
      <c r="H21" s="23"/>
      <c r="I21" s="22"/>
      <c r="J21" s="23"/>
      <c r="K21" s="22"/>
      <c r="L21" s="23"/>
      <c r="M21" s="22">
        <f>SUM(M18:M20)</f>
        <v>4272800</v>
      </c>
      <c r="N21" s="23"/>
    </row>
    <row r="22" spans="2:14" ht="30" customHeight="1">
      <c r="B22" s="52" t="s">
        <v>58</v>
      </c>
      <c r="C22" s="53"/>
      <c r="D22" s="23"/>
      <c r="E22" s="23"/>
      <c r="F22" s="25"/>
      <c r="G22" s="23"/>
      <c r="H22" s="23"/>
      <c r="I22" s="23"/>
      <c r="J22" s="23"/>
      <c r="K22" s="23"/>
      <c r="L22" s="23"/>
      <c r="M22" s="26">
        <f>FLOOR(M21, 100000)</f>
        <v>4200000</v>
      </c>
      <c r="N22" s="54" t="s">
        <v>59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2026-03-09T02:57:18Z</dcterms:modified>
  <cp:category/>
  <cp:contentStatus/>
</cp:coreProperties>
</file>