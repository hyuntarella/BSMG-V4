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4053333E-3AAE-43B8-BA33-68AC3DD012AC}" xr6:coauthVersionLast="47" xr6:coauthVersionMax="47" xr10:uidLastSave="{00000000-0000-0000-0000-000000000000}"/>
  <bookViews>
    <workbookView xWindow="2340" yWindow="1710" windowWidth="21600" windowHeight="1129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B14" i="5"/>
  <c r="M8" i="3"/>
  <c r="L8" i="3"/>
  <c r="M16" i="3"/>
  <c r="L16" i="3"/>
  <c r="M15" i="3"/>
  <c r="L15" i="3"/>
  <c r="L14" i="3"/>
  <c r="M14" i="3"/>
  <c r="M12" i="3" l="1"/>
  <c r="L12" i="3"/>
  <c r="L13" i="3"/>
  <c r="I13" i="3"/>
  <c r="G13" i="3"/>
  <c r="G9" i="3"/>
  <c r="I9" i="3"/>
  <c r="L9" i="3"/>
  <c r="L7" i="3"/>
  <c r="I7" i="3"/>
  <c r="G7" i="3"/>
  <c r="M9" i="3" l="1"/>
  <c r="M13" i="3"/>
  <c r="M7" i="3"/>
  <c r="L11" i="3"/>
  <c r="K11" i="3"/>
  <c r="I11" i="3"/>
  <c r="G11" i="3"/>
  <c r="L10" i="3"/>
  <c r="K10" i="3"/>
  <c r="I10" i="3"/>
  <c r="G10" i="3"/>
  <c r="M11" i="3" l="1"/>
  <c r="M18" i="3" s="1"/>
  <c r="M10" i="3"/>
  <c r="G18" i="3"/>
  <c r="I18" i="3"/>
  <c r="K18" i="3"/>
  <c r="M20" i="3" l="1"/>
  <c r="M19" i="3"/>
  <c r="M21" i="3" l="1"/>
  <c r="M22" i="3" l="1"/>
  <c r="K18" i="5" s="1"/>
  <c r="E11" i="5" s="1"/>
  <c r="K14" i="5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<sst xmlns="http://schemas.openxmlformats.org/spreadsheetml/2006/main" count="90" uniqueCount="71">
  <si>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</si>
  <si>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</si>
  <si>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</si>
  <si>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</si>
  <si>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</si>
  <si>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</si>
  <si>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</si>
  <si>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</si>
  <si>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</si>
  <si>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</si>
  <si>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</si>
  <si>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</si>
  <si>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</si>
  <si>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</si>
  <si>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</si>
  <si>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6" type="noConversion"/>
  </si>
  <si>
    <t xml:space="preserve">  전화번호</t>
  </si>
  <si>
    <t>010.5379.3587</t>
    <phoneticPr fontId="6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</si>
  <si>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</si>
  <si>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</si>
  <si>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</si>
  <si>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</si>
  <si>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</si>
  <si>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6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</si>
  <si>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</si>
  <si>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</si>
  <si>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</si>
  <si>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</si>
  <si>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</si>
  <si>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</si>
  <si>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</si>
  <si>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</si>
  <si>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</si>
  <si>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6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</si>
  <si>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6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</si>
  <si>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</si>
  <si>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6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</si>
  <si>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</si>
  <si>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6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</si>
  <si>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</si>
  <si>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</si>
  <si>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</si>
  <si>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</si>
  <si>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</si>
  <si>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</si>
  <si>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연삭</t>
    </r>
  </si>
  <si>
    <t>m²</t>
  </si>
  <si>
    <t>바탕조정제
부분미장</t>
    <phoneticPr fontId="6" type="noConversion"/>
  </si>
  <si>
    <t>식</t>
    <phoneticPr fontId="6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</si>
  <si>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</si>
  <si>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</si>
  <si>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6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</si>
  <si>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</si>
  <si>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6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</si>
  <si>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6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</si>
  <si>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6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</si>
  <si>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</si>
  <si>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6" type="noConversion"/>
  </si>
  <si>
    <r>
      <rPr>
        <sz val="12"/>
        <color theme="1"/>
        <rFont val="맑은 고딕"/>
        <family val="3"/>
        <charset val="129"/>
      </rPr>
      <t>사다리차</t>
    </r>
    <phoneticPr fontId="6" type="noConversion"/>
  </si>
  <si>
    <r>
      <rPr>
        <sz val="12"/>
        <color theme="1"/>
        <rFont val="맑은 고딕"/>
        <family val="3"/>
        <charset val="129"/>
      </rPr>
      <t>일</t>
    </r>
    <phoneticPr fontId="6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</si>
  <si>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6" type="noConversion"/>
  </si>
  <si>
    <r>
      <rPr>
        <sz val="12"/>
        <color theme="1"/>
        <rFont val="맑은 고딕"/>
        <family val="3"/>
        <charset val="129"/>
      </rPr>
      <t>식</t>
    </r>
    <phoneticPr fontId="6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</si>
  <si>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6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</si>
  <si>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6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</si>
  <si>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6" type="noConversion"/>
  </si>
  <si>
    <t>%</t>
    <phoneticPr fontId="6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</si>
  <si>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6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</si>
  <si>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</si>
  <si>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6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</si>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</sst>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Arial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52">
    <xf numFmtId="0" fontId="0" fillId="0" borderId="0" xfId="0"/>
    <xf numFmtId="0" fontId="1" fillId="0" borderId="0" xfId="0" applyFont="1"/>
    <xf numFmtId="3" fontId="7" fillId="5" borderId="15" xfId="0" applyNumberFormat="1" applyFont="1" applyFill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3" fontId="7" fillId="2" borderId="15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177" fontId="7" fillId="7" borderId="15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177" fontId="7" fillId="6" borderId="15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/>
    </xf>
    <xf numFmtId="3" fontId="7" fillId="4" borderId="15" xfId="0" applyNumberFormat="1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3" fontId="14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4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6" fillId="8" borderId="33" xfId="1" applyFont="1" applyFill="1" applyBorder="1" applyAlignment="1">
      <alignment vertical="center"/>
    </xf>
    <xf numFmtId="0" fontId="16" fillId="2" borderId="1" xfId="1" applyFont="1" applyFill="1" applyBorder="1" applyAlignment="1">
      <alignment horizontal="left" vertical="center"/>
    </xf>
    <xf numFmtId="0" fontId="14" fillId="0" borderId="0" xfId="1" applyFont="1"/>
    <xf numFmtId="0" fontId="14" fillId="3" borderId="4" xfId="1" applyFont="1" applyFill="1" applyBorder="1" applyAlignment="1">
      <alignment vertical="center"/>
    </xf>
    <xf numFmtId="0" fontId="14" fillId="2" borderId="4" xfId="1" applyFont="1" applyFill="1" applyBorder="1" applyAlignment="1">
      <alignment vertical="center"/>
    </xf>
    <xf numFmtId="0" fontId="7" fillId="0" borderId="4" xfId="1" applyFont="1" applyBorder="1" applyAlignment="1">
      <alignment vertical="center"/>
    </xf>
    <xf numFmtId="0" fontId="8" fillId="8" borderId="34" xfId="1" applyFont="1" applyFill="1" applyBorder="1" applyAlignment="1">
      <alignment vertical="center"/>
    </xf>
    <xf numFmtId="0" fontId="8" fillId="2" borderId="3" xfId="1" applyFont="1" applyFill="1" applyBorder="1" applyAlignment="1">
      <alignment vertical="center"/>
    </xf>
    <xf numFmtId="0" fontId="14" fillId="3" borderId="2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/>
    </xf>
    <xf numFmtId="0" fontId="8" fillId="8" borderId="39" xfId="1" applyFont="1" applyFill="1" applyBorder="1" applyAlignment="1">
      <alignment vertical="center"/>
    </xf>
    <xf numFmtId="0" fontId="14" fillId="3" borderId="3" xfId="1" applyFont="1" applyFill="1" applyBorder="1" applyAlignment="1">
      <alignment vertical="center"/>
    </xf>
    <xf numFmtId="0" fontId="14" fillId="2" borderId="3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7" fillId="0" borderId="6" xfId="1" applyFont="1" applyBorder="1"/>
    <xf numFmtId="0" fontId="8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7" fillId="0" borderId="17" xfId="1" applyFont="1" applyBorder="1" applyAlignment="1">
      <alignment horizontal="center" vertical="center"/>
    </xf>
    <xf numFmtId="0" fontId="7" fillId="0" borderId="11" xfId="1" applyFont="1" applyBorder="1"/>
    <xf numFmtId="0" fontId="7" fillId="4" borderId="8" xfId="1" applyFont="1" applyFill="1" applyBorder="1" applyAlignment="1">
      <alignment vertical="center"/>
    </xf>
    <xf numFmtId="0" fontId="5" fillId="0" borderId="2" xfId="1" applyFont="1" applyBorder="1"/>
    <xf numFmtId="0" fontId="5" fillId="0" borderId="0" xfId="1" applyFont="1"/>
    <xf numFmtId="0" fontId="5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/>
    </xf>
    <xf numFmtId="0" fontId="8" fillId="8" borderId="53" xfId="0" applyFont="1" applyFill="1" applyBorder="1" applyAlignment="1">
      <alignment horizontal="center" vertical="center"/>
    </xf>
    <xf numFmtId="0" fontId="8" fillId="8" borderId="54" xfId="0" applyFont="1" applyFill="1" applyBorder="1" applyAlignment="1">
      <alignment horizontal="center" vertical="center"/>
    </xf>
    <xf numFmtId="0" fontId="8" fillId="8" borderId="55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58" xfId="0" applyFont="1" applyFill="1" applyBorder="1" applyAlignment="1">
      <alignment horizontal="center" vertical="center"/>
    </xf>
    <xf numFmtId="0" fontId="8" fillId="8" borderId="57" xfId="0" applyFont="1" applyFill="1" applyBorder="1" applyAlignment="1">
      <alignment horizontal="center" vertical="center"/>
    </xf>
    <xf numFmtId="0" fontId="8" fillId="8" borderId="61" xfId="0" applyFont="1" applyFill="1" applyBorder="1" applyAlignment="1">
      <alignment horizontal="center" vertical="center"/>
    </xf>
    <xf numFmtId="0" fontId="7" fillId="0" borderId="6" xfId="1" applyFont="1" applyBorder="1" applyAlignment="1">
      <alignment vertical="center"/>
    </xf>
    <xf numFmtId="0" fontId="4" fillId="0" borderId="0" xfId="1" applyFont="1" applyAlignment="1">
      <alignment horizontal="center" wrapText="1"/>
    </xf>
    <xf numFmtId="0" fontId="7" fillId="0" borderId="1" xfId="1" applyFont="1" applyBorder="1" applyAlignment="1">
      <alignment horizontal="left" vertical="center"/>
    </xf>
    <xf numFmtId="0" fontId="7" fillId="0" borderId="19" xfId="1" applyFont="1" applyBorder="1" applyAlignment="1">
      <alignment vertical="center"/>
    </xf>
    <xf numFmtId="178" fontId="7" fillId="0" borderId="35" xfId="1" applyNumberFormat="1" applyFont="1" applyBorder="1" applyAlignment="1">
      <alignment horizontal="left" vertical="center"/>
    </xf>
    <xf numFmtId="178" fontId="7" fillId="0" borderId="36" xfId="1" applyNumberFormat="1" applyFont="1" applyBorder="1" applyAlignment="1">
      <alignment horizontal="left" vertical="center"/>
    </xf>
    <xf numFmtId="0" fontId="7" fillId="0" borderId="3" xfId="1" applyFont="1" applyBorder="1" applyAlignment="1">
      <alignment vertical="center"/>
    </xf>
    <xf numFmtId="0" fontId="7" fillId="0" borderId="3" xfId="1" applyFont="1" applyBorder="1" applyAlignment="1">
      <alignment horizontal="left" vertical="center"/>
    </xf>
    <xf numFmtId="0" fontId="7" fillId="0" borderId="37" xfId="1" applyFont="1" applyBorder="1" applyAlignment="1">
      <alignment vertical="center"/>
    </xf>
    <xf numFmtId="0" fontId="17" fillId="0" borderId="37" xfId="1" applyFont="1" applyBorder="1"/>
    <xf numFmtId="0" fontId="17" fillId="0" borderId="38" xfId="1" applyFont="1" applyBorder="1"/>
    <xf numFmtId="0" fontId="17" fillId="0" borderId="3" xfId="1" applyFont="1" applyBorder="1"/>
    <xf numFmtId="0" fontId="7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8" fillId="8" borderId="4" xfId="1" applyFont="1" applyFill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7" fillId="0" borderId="7" xfId="1" applyFont="1" applyBorder="1"/>
    <xf numFmtId="0" fontId="8" fillId="8" borderId="40" xfId="1" applyFont="1" applyFill="1" applyBorder="1" applyAlignment="1">
      <alignment horizontal="center" vertical="center"/>
    </xf>
    <xf numFmtId="0" fontId="8" fillId="8" borderId="41" xfId="1" applyFont="1" applyFill="1" applyBorder="1" applyAlignment="1">
      <alignment horizontal="center" vertical="center"/>
    </xf>
    <xf numFmtId="0" fontId="8" fillId="8" borderId="42" xfId="1" applyFont="1" applyFill="1" applyBorder="1" applyAlignment="1">
      <alignment horizontal="center" vertical="center"/>
    </xf>
    <xf numFmtId="0" fontId="8" fillId="8" borderId="43" xfId="1" applyFont="1" applyFill="1" applyBorder="1" applyAlignment="1">
      <alignment horizontal="center" vertical="center"/>
    </xf>
    <xf numFmtId="0" fontId="8" fillId="8" borderId="45" xfId="1" applyFont="1" applyFill="1" applyBorder="1" applyAlignment="1">
      <alignment horizontal="center" vertical="center"/>
    </xf>
    <xf numFmtId="0" fontId="8" fillId="8" borderId="46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7" fillId="0" borderId="47" xfId="1" applyFont="1" applyBorder="1" applyAlignment="1">
      <alignment horizontal="center"/>
    </xf>
    <xf numFmtId="0" fontId="7" fillId="0" borderId="35" xfId="1" applyFont="1" applyBorder="1" applyAlignment="1">
      <alignment horizontal="center"/>
    </xf>
    <xf numFmtId="0" fontId="7" fillId="0" borderId="36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17" fillId="0" borderId="23" xfId="1" applyFont="1" applyBorder="1"/>
    <xf numFmtId="0" fontId="17" fillId="0" borderId="24" xfId="1" applyFont="1" applyBorder="1"/>
    <xf numFmtId="0" fontId="7" fillId="0" borderId="8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7" fillId="0" borderId="23" xfId="0" applyFont="1" applyBorder="1"/>
    <xf numFmtId="0" fontId="17" fillId="0" borderId="24" xfId="0" applyFont="1" applyBorder="1"/>
    <xf numFmtId="0" fontId="7" fillId="0" borderId="16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/>
    </xf>
    <xf numFmtId="0" fontId="7" fillId="0" borderId="0" xfId="1" applyFont="1" applyAlignment="1">
      <alignment horizontal="center"/>
    </xf>
    <xf numFmtId="3" fontId="7" fillId="0" borderId="16" xfId="0" applyNumberFormat="1" applyFont="1" applyBorder="1" applyAlignment="1">
      <alignment horizontal="center" vertical="center"/>
    </xf>
    <xf numFmtId="0" fontId="7" fillId="0" borderId="12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14" fillId="0" borderId="11" xfId="1" applyFont="1" applyBorder="1" applyAlignment="1">
      <alignment vertical="top" wrapText="1"/>
    </xf>
    <xf numFmtId="0" fontId="14" fillId="0" borderId="2" xfId="1" applyFont="1" applyBorder="1" applyAlignment="1">
      <alignment vertical="top"/>
    </xf>
    <xf numFmtId="0" fontId="14" fillId="0" borderId="10" xfId="1" applyFont="1" applyBorder="1" applyAlignment="1">
      <alignment vertical="top"/>
    </xf>
    <xf numFmtId="0" fontId="14" fillId="0" borderId="0" xfId="1" applyFont="1" applyAlignment="1">
      <alignment vertical="top"/>
    </xf>
    <xf numFmtId="0" fontId="14" fillId="0" borderId="12" xfId="1" applyFont="1" applyBorder="1" applyAlignment="1">
      <alignment vertical="top"/>
    </xf>
    <xf numFmtId="0" fontId="14" fillId="0" borderId="13" xfId="1" applyFont="1" applyBorder="1" applyAlignment="1">
      <alignment vertical="top"/>
    </xf>
    <xf numFmtId="0" fontId="7" fillId="0" borderId="25" xfId="1" applyFont="1" applyBorder="1" applyAlignment="1">
      <alignment vertical="center" wrapText="1"/>
    </xf>
    <xf numFmtId="0" fontId="17" fillId="0" borderId="26" xfId="1" applyFont="1" applyBorder="1"/>
    <xf numFmtId="0" fontId="17" fillId="0" borderId="27" xfId="1" applyFont="1" applyBorder="1"/>
    <xf numFmtId="0" fontId="17" fillId="0" borderId="20" xfId="1" applyFont="1" applyBorder="1"/>
    <xf numFmtId="0" fontId="7" fillId="0" borderId="0" xfId="1" applyFont="1"/>
    <xf numFmtId="0" fontId="17" fillId="0" borderId="28" xfId="1" applyFont="1" applyBorder="1"/>
    <xf numFmtId="0" fontId="17" fillId="0" borderId="29" xfId="1" applyFont="1" applyBorder="1"/>
    <xf numFmtId="0" fontId="17" fillId="0" borderId="30" xfId="1" applyFont="1" applyBorder="1"/>
    <xf numFmtId="0" fontId="17" fillId="0" borderId="15" xfId="1" applyFont="1" applyBorder="1"/>
    <xf numFmtId="0" fontId="7" fillId="0" borderId="48" xfId="1" applyFont="1" applyBorder="1" applyAlignment="1">
      <alignment horizontal="center"/>
    </xf>
    <xf numFmtId="0" fontId="7" fillId="4" borderId="8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48" xfId="1" applyFont="1" applyFill="1" applyBorder="1" applyAlignment="1">
      <alignment horizontal="center" vertical="center"/>
    </xf>
    <xf numFmtId="0" fontId="7" fillId="4" borderId="49" xfId="1" applyFont="1" applyFill="1" applyBorder="1" applyAlignment="1">
      <alignment horizontal="center" vertical="center"/>
    </xf>
    <xf numFmtId="0" fontId="7" fillId="4" borderId="50" xfId="1" applyFont="1" applyFill="1" applyBorder="1" applyAlignment="1">
      <alignment horizontal="center" vertical="center"/>
    </xf>
    <xf numFmtId="3" fontId="7" fillId="6" borderId="16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56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60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3783B835-F352-4735-95AB-2D3A69AA7111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0B0895E0-8F1B-46BC-9A45-363C6601B575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6DEBAC1A-9593-420F-88D4-B86AEA6DD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2EED673-9A77-492C-80C2-9F9A6169C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893F-CC02-46DF-886D-C0EB4F283BDC}">
  <sheetPr>
    <pageSetUpPr fitToPage="1"/>
  </sheetPr>
  <dimension ref="A1:AO59"/>
  <sheetViews>
    <sheetView topLeftCell="A12" zoomScale="85" zoomScaleNormal="85" zoomScalePageLayoutView="57" workbookViewId="0">
      <selection activeCell="E11" sqref="E11:R11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5.25" style="31" bestFit="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77">
        <v>26030901</v>
      </c>
      <c r="E6" s="77"/>
      <c r="F6" s="77"/>
      <c r="G6" s="42"/>
      <c r="H6" s="43" t="s">
        <v>3</v>
      </c>
      <c r="I6" s="44"/>
      <c r="J6" s="78" t="s">
        <v>4</v>
      </c>
      <c r="K6" s="78"/>
      <c r="L6" s="43" t="s">
        <v>5</v>
      </c>
      <c r="M6" s="44"/>
      <c r="N6" s="45" t="s">
        <v>6</v>
      </c>
      <c r="O6" s="43" t="s">
        <v>7</v>
      </c>
      <c r="P6" s="44"/>
      <c r="Q6" s="78" t="s">
        <v>8</v>
      </c>
      <c r="R6" s="78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79">
        <v>46090</v>
      </c>
      <c r="E7" s="79"/>
      <c r="F7" s="80"/>
      <c r="G7" s="42"/>
      <c r="H7" s="48" t="s">
        <v>10</v>
      </c>
      <c r="I7" s="49"/>
      <c r="J7" s="81" t="s">
        <v>11</v>
      </c>
      <c r="K7" s="81"/>
      <c r="L7" s="48" t="s">
        <v>12</v>
      </c>
      <c r="M7" s="49"/>
      <c r="N7" s="82" t="s">
        <v>13</v>
      </c>
      <c r="O7" s="82"/>
      <c r="P7" s="82"/>
      <c r="Q7" s="82"/>
      <c r="R7" s="82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83" t="s">
        <v>15</v>
      </c>
      <c r="E8" s="84"/>
      <c r="F8" s="85"/>
      <c r="G8" s="42"/>
      <c r="H8" s="48" t="s">
        <v>16</v>
      </c>
      <c r="I8" s="49"/>
      <c r="J8" s="81" t="s">
        <v>17</v>
      </c>
      <c r="K8" s="86"/>
      <c r="L8" s="48" t="s">
        <v>18</v>
      </c>
      <c r="M8" s="49"/>
      <c r="N8" s="82" t="s">
        <v>19</v>
      </c>
      <c r="O8" s="82"/>
      <c r="P8" s="82"/>
      <c r="Q8" s="82"/>
      <c r="R8" s="82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87" t="s">
        <v>21</v>
      </c>
      <c r="E9" s="87"/>
      <c r="F9" s="87"/>
      <c r="G9" s="42"/>
      <c r="H9" s="51" t="s">
        <v>22</v>
      </c>
      <c r="I9" s="52"/>
      <c r="J9" s="88" t="s">
        <v>23</v>
      </c>
      <c r="K9" s="89"/>
      <c r="L9" s="89"/>
      <c r="M9" s="89"/>
      <c r="N9" s="89"/>
      <c r="O9" s="89"/>
      <c r="P9" s="89"/>
      <c r="Q9" s="89"/>
      <c r="R9" s="89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90" t="s">
        <v>24</v>
      </c>
      <c r="C11" s="90"/>
      <c r="D11" s="90"/>
      <c r="E11" s="91" t="str">
        <f>"일금 "&amp;NUMBERSTRING(K18,1)&amp;" 원정"&amp;TEXT(K18,"(₩#,###)")</f>
        <v>일금 사백일십만 원정(₩4,100,000)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93" t="s">
        <v>25</v>
      </c>
      <c r="C13" s="94"/>
      <c r="D13" s="94"/>
      <c r="E13" s="95"/>
      <c r="F13" s="96" t="s">
        <v>26</v>
      </c>
      <c r="G13" s="95"/>
      <c r="H13" s="55" t="s">
        <v>27</v>
      </c>
      <c r="I13" s="97" t="s">
        <v>28</v>
      </c>
      <c r="J13" s="98"/>
      <c r="K13" s="99" t="s">
        <v>29</v>
      </c>
      <c r="L13" s="99"/>
      <c r="M13" s="99"/>
      <c r="N13" s="100"/>
      <c r="O13" s="99" t="s">
        <v>30</v>
      </c>
      <c r="P13" s="99"/>
      <c r="Q13" s="99"/>
      <c r="R13" s="99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2" t="str">
        <f>Sheet2!C3</f>
        <v>옥상 우레탄방수 3mm (제 2안)</v>
      </c>
      <c r="C14" s="113"/>
      <c r="D14" s="113"/>
      <c r="E14" s="114"/>
      <c r="F14" s="115" t="s">
        <v>31</v>
      </c>
      <c r="G14" s="108"/>
      <c r="H14" s="57">
        <v>1</v>
      </c>
      <c r="I14" s="116"/>
      <c r="J14" s="117"/>
      <c r="K14" s="118">
        <f>Sheet2!M21</f>
        <v>4163800</v>
      </c>
      <c r="L14" s="113"/>
      <c r="M14" s="113"/>
      <c r="N14" s="114"/>
      <c r="O14" s="119"/>
      <c r="P14" s="120"/>
      <c r="Q14" s="120"/>
      <c r="R14" s="121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1"/>
      <c r="C15" s="102"/>
      <c r="D15" s="102"/>
      <c r="E15" s="103"/>
      <c r="F15" s="104"/>
      <c r="G15" s="104"/>
      <c r="H15" s="58"/>
      <c r="I15" s="105"/>
      <c r="J15" s="104"/>
      <c r="K15" s="106"/>
      <c r="L15" s="107"/>
      <c r="M15" s="107"/>
      <c r="N15" s="108"/>
      <c r="O15" s="109"/>
      <c r="P15" s="110"/>
      <c r="Q15" s="110"/>
      <c r="R15" s="111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109"/>
      <c r="C16" s="110"/>
      <c r="D16" s="110"/>
      <c r="E16" s="111"/>
      <c r="F16" s="109"/>
      <c r="G16" s="111"/>
      <c r="H16" s="58"/>
      <c r="I16" s="109"/>
      <c r="J16" s="111"/>
      <c r="K16" s="106"/>
      <c r="L16" s="107"/>
      <c r="M16" s="107"/>
      <c r="N16" s="108"/>
      <c r="O16" s="109"/>
      <c r="P16" s="110"/>
      <c r="Q16" s="110"/>
      <c r="R16" s="111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109"/>
      <c r="C17" s="110"/>
      <c r="D17" s="110"/>
      <c r="E17" s="137"/>
      <c r="F17" s="104"/>
      <c r="G17" s="104"/>
      <c r="H17" s="58"/>
      <c r="I17" s="105"/>
      <c r="J17" s="104"/>
      <c r="K17" s="106"/>
      <c r="L17" s="107"/>
      <c r="M17" s="107"/>
      <c r="N17" s="108"/>
      <c r="O17" s="109"/>
      <c r="P17" s="110"/>
      <c r="Q17" s="110"/>
      <c r="R17" s="111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138" t="s">
        <v>32</v>
      </c>
      <c r="C18" s="139"/>
      <c r="D18" s="139"/>
      <c r="E18" s="140"/>
      <c r="F18" s="141"/>
      <c r="G18" s="142"/>
      <c r="H18" s="59"/>
      <c r="I18" s="138"/>
      <c r="J18" s="139"/>
      <c r="K18" s="143">
        <f>Sheet2!M22</f>
        <v>4100000</v>
      </c>
      <c r="L18" s="113"/>
      <c r="M18" s="113"/>
      <c r="N18" s="114"/>
      <c r="O18" s="138" t="s">
        <v>33</v>
      </c>
      <c r="P18" s="139"/>
      <c r="Q18" s="139"/>
      <c r="R18" s="139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122" t="s">
        <v>34</v>
      </c>
      <c r="C19" s="123"/>
      <c r="D19" s="128" t="s">
        <v>35</v>
      </c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124"/>
      <c r="C20" s="125"/>
      <c r="D20" s="131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3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124"/>
      <c r="C21" s="125"/>
      <c r="D21" s="131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3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126"/>
      <c r="C22" s="127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6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6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4" zoomScale="70" zoomScaleNormal="70" workbookViewId="0">
      <selection activeCell="K12" sqref="K12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48" t="s">
        <v>38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50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44" t="s">
        <v>40</v>
      </c>
      <c r="G5" s="145"/>
      <c r="H5" s="146" t="s">
        <v>41</v>
      </c>
      <c r="I5" s="147"/>
      <c r="J5" s="146" t="s">
        <v>42</v>
      </c>
      <c r="K5" s="147"/>
      <c r="L5" s="144" t="s">
        <v>43</v>
      </c>
      <c r="M5" s="145"/>
      <c r="N5" s="71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73" t="s">
        <v>28</v>
      </c>
      <c r="G6" s="72" t="s">
        <v>29</v>
      </c>
      <c r="H6" s="73" t="s">
        <v>28</v>
      </c>
      <c r="I6" s="69" t="s">
        <v>29</v>
      </c>
      <c r="J6" s="73" t="s">
        <v>28</v>
      </c>
      <c r="K6" s="69" t="s">
        <v>29</v>
      </c>
      <c r="L6" s="74" t="s">
        <v>28</v>
      </c>
      <c r="M6" s="72" t="s">
        <v>29</v>
      </c>
      <c r="N6" s="70"/>
      <c r="O6" s="1"/>
      <c r="P6" s="1"/>
      <c r="Q6" s="1"/>
      <c r="R6" s="1"/>
    </row>
    <row r="7" spans="1:18" ht="30" customHeight="1">
      <c r="A7" s="1"/>
      <c r="B7" s="8" t="s">
        <v>44</v>
      </c>
      <c r="C7" s="9" t="s">
        <v>45</v>
      </c>
      <c r="D7" s="10" t="s">
        <v>46</v>
      </c>
      <c r="E7" s="3">
        <v>100</v>
      </c>
      <c r="F7" s="4">
        <v>1100</v>
      </c>
      <c r="G7" s="3">
        <f>E7*F7</f>
        <v>110000</v>
      </c>
      <c r="H7" s="4">
        <v>1600</v>
      </c>
      <c r="I7" s="3">
        <f>H7*E7</f>
        <v>160000</v>
      </c>
      <c r="J7" s="4"/>
      <c r="K7" s="4"/>
      <c r="L7" s="5">
        <f>J7+H7+F7</f>
        <v>2700</v>
      </c>
      <c r="M7" s="3">
        <f>SUM(K7+I7+G7)</f>
        <v>270000</v>
      </c>
      <c r="N7" s="10"/>
    </row>
    <row r="8" spans="1:18" ht="34.5">
      <c r="A8" s="1"/>
      <c r="B8" s="28" t="s">
        <v>47</v>
      </c>
      <c r="C8" s="9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0"/>
    </row>
    <row r="9" spans="1:18" ht="33.75" customHeight="1">
      <c r="A9" s="1"/>
      <c r="B9" s="11" t="s">
        <v>49</v>
      </c>
      <c r="C9" s="151" t="s">
        <v>70</v>
      </c>
      <c r="D9" s="10" t="s">
        <v>46</v>
      </c>
      <c r="E9" s="3">
        <v>100</v>
      </c>
      <c r="F9" s="4">
        <v>3000</v>
      </c>
      <c r="G9" s="3">
        <f t="shared" ref="G9:G11" si="0">E9*F9</f>
        <v>300000</v>
      </c>
      <c r="H9" s="4">
        <v>2500</v>
      </c>
      <c r="I9" s="3">
        <f t="shared" ref="I9:I11" si="1">H9*E9</f>
        <v>250000</v>
      </c>
      <c r="J9" s="4"/>
      <c r="K9" s="4"/>
      <c r="L9" s="5">
        <f t="shared" ref="L9:L12" si="2">J9+H9+F9</f>
        <v>5500</v>
      </c>
      <c r="M9" s="3">
        <f t="shared" ref="M9:M12" si="3">SUM(K9+I9+G9)</f>
        <v>550000</v>
      </c>
      <c r="N9" s="10"/>
    </row>
    <row r="10" spans="1:18" ht="30" customHeight="1">
      <c r="A10" s="1"/>
      <c r="B10" s="11" t="s">
        <v>50</v>
      </c>
      <c r="C10" s="6" t="s">
        <v>51</v>
      </c>
      <c r="D10" s="10" t="s">
        <v>46</v>
      </c>
      <c r="E10" s="3">
        <v>100</v>
      </c>
      <c r="F10" s="4">
        <v>5000</v>
      </c>
      <c r="G10" s="3">
        <f t="shared" si="0"/>
        <v>500000</v>
      </c>
      <c r="H10" s="4">
        <v>3500</v>
      </c>
      <c r="I10" s="3">
        <f t="shared" si="1"/>
        <v>350000</v>
      </c>
      <c r="J10" s="4">
        <v>300</v>
      </c>
      <c r="K10" s="3">
        <f>J10*E10</f>
        <v>30000</v>
      </c>
      <c r="L10" s="5">
        <f t="shared" si="2"/>
        <v>8800</v>
      </c>
      <c r="M10" s="3">
        <f t="shared" si="3"/>
        <v>880000</v>
      </c>
      <c r="N10" s="10"/>
    </row>
    <row r="11" spans="1:18" ht="30" customHeight="1">
      <c r="A11" s="1"/>
      <c r="B11" s="12" t="s">
        <v>52</v>
      </c>
      <c r="C11" s="6" t="s">
        <v>53</v>
      </c>
      <c r="D11" s="10" t="s">
        <v>46</v>
      </c>
      <c r="E11" s="3">
        <v>100</v>
      </c>
      <c r="F11" s="4">
        <v>10000</v>
      </c>
      <c r="G11" s="3">
        <f t="shared" si="0"/>
        <v>1000000</v>
      </c>
      <c r="H11" s="4">
        <v>5500</v>
      </c>
      <c r="I11" s="3">
        <f t="shared" si="1"/>
        <v>550000</v>
      </c>
      <c r="J11" s="4">
        <v>500</v>
      </c>
      <c r="K11" s="3">
        <f>J11*E11</f>
        <v>50000</v>
      </c>
      <c r="L11" s="5">
        <f t="shared" si="2"/>
        <v>16000</v>
      </c>
      <c r="M11" s="3">
        <f t="shared" si="3"/>
        <v>1600000</v>
      </c>
      <c r="N11" s="10"/>
    </row>
    <row r="12" spans="1:18" ht="30" customHeight="1">
      <c r="A12" s="1"/>
      <c r="B12" s="12" t="s">
        <v>54</v>
      </c>
      <c r="C12" s="6" t="s">
        <v>55</v>
      </c>
      <c r="D12" s="10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2"/>
        <v>9800</v>
      </c>
      <c r="M12" s="3">
        <f t="shared" si="3"/>
        <v>0</v>
      </c>
      <c r="N12" s="10"/>
    </row>
    <row r="13" spans="1:18" ht="30" customHeight="1">
      <c r="B13" s="12" t="s">
        <v>56</v>
      </c>
      <c r="C13" s="6" t="s">
        <v>57</v>
      </c>
      <c r="D13" s="10" t="s">
        <v>46</v>
      </c>
      <c r="E13" s="3">
        <v>100</v>
      </c>
      <c r="F13" s="4">
        <v>2200</v>
      </c>
      <c r="G13" s="3">
        <f t="shared" ref="G13" si="4">E13*F13</f>
        <v>220000</v>
      </c>
      <c r="H13" s="4">
        <v>1800</v>
      </c>
      <c r="I13" s="3">
        <f t="shared" ref="I13" si="5">H13*E13</f>
        <v>180000</v>
      </c>
      <c r="J13" s="4"/>
      <c r="K13" s="4"/>
      <c r="L13" s="5">
        <f t="shared" ref="L13" si="6">J13+H13+F13</f>
        <v>4000</v>
      </c>
      <c r="M13" s="3">
        <f t="shared" ref="M13" si="7">SUM(K13+I13+G13)</f>
        <v>400000</v>
      </c>
      <c r="N13" s="10"/>
    </row>
    <row r="14" spans="1:18" ht="30" customHeight="1">
      <c r="B14" s="12" t="s">
        <v>58</v>
      </c>
      <c r="C14" s="6"/>
      <c r="D14" s="10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>SUM(K14+I14+G14)</f>
        <v>120000</v>
      </c>
      <c r="N14" s="10"/>
    </row>
    <row r="15" spans="1:18" ht="30" customHeight="1">
      <c r="B15" s="12" t="s">
        <v>60</v>
      </c>
      <c r="C15" s="6"/>
      <c r="D15" s="10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>SUM(K15+I15+G15)</f>
        <v>0</v>
      </c>
      <c r="N15" s="10"/>
    </row>
    <row r="16" spans="1:18" ht="30" customHeight="1">
      <c r="B16" s="12" t="s">
        <v>62</v>
      </c>
      <c r="C16" s="6"/>
      <c r="D16" s="10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0"/>
    </row>
    <row r="17" spans="2:14" ht="30" customHeight="1">
      <c r="B17" s="12"/>
      <c r="C17" s="6"/>
      <c r="D17" s="10"/>
      <c r="E17" s="3"/>
      <c r="F17" s="3"/>
      <c r="G17" s="3"/>
      <c r="H17" s="3"/>
      <c r="I17" s="3"/>
      <c r="J17" s="3"/>
      <c r="K17" s="3"/>
      <c r="L17" s="5"/>
      <c r="M17" s="3"/>
      <c r="N17" s="10"/>
    </row>
    <row r="18" spans="2:14" ht="30" customHeight="1">
      <c r="B18" s="14" t="s">
        <v>63</v>
      </c>
      <c r="C18" s="15"/>
      <c r="D18" s="16"/>
      <c r="E18" s="2"/>
      <c r="F18" s="2"/>
      <c r="G18" s="17">
        <f>SUM(G7:G17)</f>
        <v>2130000</v>
      </c>
      <c r="H18" s="13"/>
      <c r="I18" s="17">
        <f>SUM(I7:I17)</f>
        <v>1490000</v>
      </c>
      <c r="J18" s="2"/>
      <c r="K18" s="17">
        <f>SUM(K7:K17)</f>
        <v>200000</v>
      </c>
      <c r="L18" s="2"/>
      <c r="M18" s="2">
        <f>SUM(M7:M17)</f>
        <v>3820000</v>
      </c>
      <c r="N18" s="18"/>
    </row>
    <row r="19" spans="2:14" ht="34.5">
      <c r="B19" s="19" t="s">
        <v>64</v>
      </c>
      <c r="C19" s="6"/>
      <c r="D19" s="10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114600</v>
      </c>
      <c r="N19" s="10"/>
    </row>
    <row r="20" spans="2:14" ht="30" customHeight="1">
      <c r="B20" s="20" t="s">
        <v>66</v>
      </c>
      <c r="C20" s="6"/>
      <c r="D20" s="10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229200</v>
      </c>
      <c r="N20" s="10"/>
    </row>
    <row r="21" spans="2:14" ht="30" customHeight="1">
      <c r="B21" s="21" t="s">
        <v>67</v>
      </c>
      <c r="C21" s="22"/>
      <c r="D21" s="18"/>
      <c r="E21" s="18"/>
      <c r="F21" s="23"/>
      <c r="G21" s="17"/>
      <c r="H21" s="18"/>
      <c r="I21" s="17"/>
      <c r="J21" s="18"/>
      <c r="K21" s="17"/>
      <c r="L21" s="18"/>
      <c r="M21" s="17">
        <f>SUM(M18:M20)</f>
        <v>4163800</v>
      </c>
      <c r="N21" s="18"/>
    </row>
    <row r="22" spans="2:14" ht="30" customHeight="1">
      <c r="B22" s="24" t="s">
        <v>68</v>
      </c>
      <c r="C22" s="25"/>
      <c r="D22" s="18"/>
      <c r="E22" s="18"/>
      <c r="F22" s="23"/>
      <c r="G22" s="18"/>
      <c r="H22" s="18"/>
      <c r="I22" s="18"/>
      <c r="J22" s="18"/>
      <c r="K22" s="18"/>
      <c r="L22" s="18"/>
      <c r="M22" s="26">
        <f>FLOOR(M21, 100000)</f>
        <v>4100000</v>
      </c>
      <c r="N22" s="27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6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2026-03-16T06:01:13Z</dcterms:modified>
  <cp:category/>
  <cp:contentStatus/>
</cp:coreProperties>
</file>