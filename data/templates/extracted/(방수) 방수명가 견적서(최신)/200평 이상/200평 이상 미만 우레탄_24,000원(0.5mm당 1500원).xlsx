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76BFF7E9-635E-4846-B6DC-E08828387399}" xr6:coauthVersionLast="47" xr6:coauthVersionMax="47" xr10:uidLastSave="{00000000-0000-0000-0000-000000000000}"/>
  <bookViews>
    <workbookView xWindow="6330" yWindow="2940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L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3" i="3" l="1"/>
  <c r="M10" i="3"/>
  <c r="M12" i="3"/>
  <c r="M11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<sst xmlns="http://schemas.openxmlformats.org/spreadsheetml/2006/main" count="90" uniqueCount="71">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</sst>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3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DD0B2278-409F-4053-A4AC-31DB47ECA2EA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5C44984E-B52D-4A3B-A59C-DC5466448B87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F7178C3-376E-46D5-9E05-9AFD66A8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7430CEC-6BAF-4091-83A7-D8305C40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6613-5B1B-4970-A663-51ADD84DBAA0}">
  <sheetPr>
    <pageSetUpPr fitToPage="1"/>
  </sheetPr>
  <dimension ref="A1:AO59"/>
  <sheetViews>
    <sheetView topLeftCell="A11" zoomScale="85" zoomScaleNormal="85" zoomScalePageLayoutView="57" workbookViewId="0">
      <selection activeCell="I15" sqref="I15:J15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5">
        <v>26030901</v>
      </c>
      <c r="E6" s="75"/>
      <c r="F6" s="75"/>
      <c r="G6" s="41"/>
      <c r="H6" s="42" t="s">
        <v>3</v>
      </c>
      <c r="I6" s="43"/>
      <c r="J6" s="76" t="s">
        <v>4</v>
      </c>
      <c r="K6" s="76"/>
      <c r="L6" s="42" t="s">
        <v>5</v>
      </c>
      <c r="M6" s="43"/>
      <c r="N6" s="44" t="s">
        <v>6</v>
      </c>
      <c r="O6" s="42" t="s">
        <v>7</v>
      </c>
      <c r="P6" s="43"/>
      <c r="Q6" s="76" t="s">
        <v>8</v>
      </c>
      <c r="R6" s="76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7">
        <v>46090</v>
      </c>
      <c r="E7" s="77"/>
      <c r="F7" s="78"/>
      <c r="G7" s="41"/>
      <c r="H7" s="47" t="s">
        <v>10</v>
      </c>
      <c r="I7" s="48"/>
      <c r="J7" s="79" t="s">
        <v>11</v>
      </c>
      <c r="K7" s="79"/>
      <c r="L7" s="47" t="s">
        <v>12</v>
      </c>
      <c r="M7" s="48"/>
      <c r="N7" s="80" t="s">
        <v>13</v>
      </c>
      <c r="O7" s="80"/>
      <c r="P7" s="80"/>
      <c r="Q7" s="80"/>
      <c r="R7" s="80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1" t="s">
        <v>15</v>
      </c>
      <c r="E8" s="82"/>
      <c r="F8" s="83"/>
      <c r="G8" s="41"/>
      <c r="H8" s="47" t="s">
        <v>16</v>
      </c>
      <c r="I8" s="48"/>
      <c r="J8" s="79" t="s">
        <v>17</v>
      </c>
      <c r="K8" s="84"/>
      <c r="L8" s="47" t="s">
        <v>18</v>
      </c>
      <c r="M8" s="48"/>
      <c r="N8" s="80" t="s">
        <v>19</v>
      </c>
      <c r="O8" s="80"/>
      <c r="P8" s="80"/>
      <c r="Q8" s="80"/>
      <c r="R8" s="8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5" t="s">
        <v>21</v>
      </c>
      <c r="E9" s="85"/>
      <c r="F9" s="85"/>
      <c r="G9" s="41"/>
      <c r="H9" s="50" t="s">
        <v>22</v>
      </c>
      <c r="I9" s="51"/>
      <c r="J9" s="86" t="s">
        <v>23</v>
      </c>
      <c r="K9" s="87"/>
      <c r="L9" s="87"/>
      <c r="M9" s="87"/>
      <c r="N9" s="87"/>
      <c r="O9" s="87"/>
      <c r="P9" s="87"/>
      <c r="Q9" s="87"/>
      <c r="R9" s="87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8" t="s">
        <v>24</v>
      </c>
      <c r="C11" s="88"/>
      <c r="D11" s="88"/>
      <c r="E11" s="89" t="str">
        <f>"일금 "&amp;NUMBERSTRING(K18,1)&amp;" 원정"&amp;TEXT(K18,"(₩#,###)")</f>
        <v>일금 이백칠십만 원정(₩2,700,000)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1" t="s">
        <v>25</v>
      </c>
      <c r="C13" s="92"/>
      <c r="D13" s="92"/>
      <c r="E13" s="93"/>
      <c r="F13" s="94" t="s">
        <v>26</v>
      </c>
      <c r="G13" s="93"/>
      <c r="H13" s="54" t="s">
        <v>27</v>
      </c>
      <c r="I13" s="95" t="s">
        <v>28</v>
      </c>
      <c r="J13" s="96"/>
      <c r="K13" s="97" t="s">
        <v>29</v>
      </c>
      <c r="L13" s="97"/>
      <c r="M13" s="97"/>
      <c r="N13" s="98"/>
      <c r="O13" s="97" t="s">
        <v>30</v>
      </c>
      <c r="P13" s="97"/>
      <c r="Q13" s="97"/>
      <c r="R13" s="97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0" t="str">
        <f>Sheet2!C3</f>
        <v>옥상 우레탄방수 3mm (제 2안)</v>
      </c>
      <c r="C14" s="111"/>
      <c r="D14" s="111"/>
      <c r="E14" s="112"/>
      <c r="F14" s="113" t="s">
        <v>31</v>
      </c>
      <c r="G14" s="106"/>
      <c r="H14" s="56">
        <v>1</v>
      </c>
      <c r="I14" s="114"/>
      <c r="J14" s="115"/>
      <c r="K14" s="116">
        <f>Sheet2!M21</f>
        <v>2746800</v>
      </c>
      <c r="L14" s="111"/>
      <c r="M14" s="111"/>
      <c r="N14" s="112"/>
      <c r="O14" s="117"/>
      <c r="P14" s="118"/>
      <c r="Q14" s="118"/>
      <c r="R14" s="119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99"/>
      <c r="C15" s="100"/>
      <c r="D15" s="100"/>
      <c r="E15" s="101"/>
      <c r="F15" s="102"/>
      <c r="G15" s="102"/>
      <c r="H15" s="57"/>
      <c r="I15" s="103"/>
      <c r="J15" s="102"/>
      <c r="K15" s="104"/>
      <c r="L15" s="105"/>
      <c r="M15" s="105"/>
      <c r="N15" s="106"/>
      <c r="O15" s="107"/>
      <c r="P15" s="108"/>
      <c r="Q15" s="108"/>
      <c r="R15" s="109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7"/>
      <c r="C16" s="108"/>
      <c r="D16" s="108"/>
      <c r="E16" s="109"/>
      <c r="F16" s="107"/>
      <c r="G16" s="109"/>
      <c r="H16" s="57"/>
      <c r="I16" s="107"/>
      <c r="J16" s="109"/>
      <c r="K16" s="104"/>
      <c r="L16" s="105"/>
      <c r="M16" s="105"/>
      <c r="N16" s="106"/>
      <c r="O16" s="107"/>
      <c r="P16" s="108"/>
      <c r="Q16" s="108"/>
      <c r="R16" s="10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7"/>
      <c r="C17" s="108"/>
      <c r="D17" s="108"/>
      <c r="E17" s="135"/>
      <c r="F17" s="102"/>
      <c r="G17" s="102"/>
      <c r="H17" s="57"/>
      <c r="I17" s="103"/>
      <c r="J17" s="102"/>
      <c r="K17" s="104"/>
      <c r="L17" s="105"/>
      <c r="M17" s="105"/>
      <c r="N17" s="106"/>
      <c r="O17" s="107"/>
      <c r="P17" s="108"/>
      <c r="Q17" s="108"/>
      <c r="R17" s="109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6" t="s">
        <v>32</v>
      </c>
      <c r="C18" s="137"/>
      <c r="D18" s="137"/>
      <c r="E18" s="138"/>
      <c r="F18" s="139"/>
      <c r="G18" s="140"/>
      <c r="H18" s="58"/>
      <c r="I18" s="136"/>
      <c r="J18" s="137"/>
      <c r="K18" s="141">
        <f>Sheet2!M22</f>
        <v>2700000</v>
      </c>
      <c r="L18" s="111"/>
      <c r="M18" s="111"/>
      <c r="N18" s="112"/>
      <c r="O18" s="136" t="s">
        <v>33</v>
      </c>
      <c r="P18" s="137"/>
      <c r="Q18" s="137"/>
      <c r="R18" s="137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20" t="s">
        <v>34</v>
      </c>
      <c r="C19" s="121"/>
      <c r="D19" s="126" t="s">
        <v>35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2"/>
      <c r="C20" s="123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2"/>
      <c r="C21" s="123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1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4"/>
      <c r="C22" s="125"/>
      <c r="D22" s="132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6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6" t="s">
        <v>38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8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2" t="s">
        <v>40</v>
      </c>
      <c r="G5" s="143"/>
      <c r="H5" s="142" t="s">
        <v>41</v>
      </c>
      <c r="I5" s="143"/>
      <c r="J5" s="144" t="s">
        <v>42</v>
      </c>
      <c r="K5" s="145"/>
      <c r="L5" s="144" t="s">
        <v>43</v>
      </c>
      <c r="M5" s="145"/>
      <c r="N5" s="72" t="s">
        <v>30</v>
      </c>
      <c r="O5" s="1"/>
      <c r="P5" s="1"/>
      <c r="Q5" s="1"/>
      <c r="R5" s="1"/>
    </row>
    <row r="6" spans="1:18" ht="31.35" customHeight="1">
      <c r="A6" s="1"/>
      <c r="B6" s="65"/>
      <c r="C6" s="67"/>
      <c r="D6" s="67"/>
      <c r="E6" s="67"/>
      <c r="F6" s="68" t="s">
        <v>28</v>
      </c>
      <c r="G6" s="68" t="s">
        <v>29</v>
      </c>
      <c r="H6" s="68" t="s">
        <v>28</v>
      </c>
      <c r="I6" s="68" t="s">
        <v>29</v>
      </c>
      <c r="J6" s="68" t="s">
        <v>28</v>
      </c>
      <c r="K6" s="69" t="s">
        <v>29</v>
      </c>
      <c r="L6" s="69" t="s">
        <v>28</v>
      </c>
      <c r="M6" s="71" t="s">
        <v>29</v>
      </c>
      <c r="N6" s="70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600</v>
      </c>
      <c r="G7" s="3">
        <f>E7*F7</f>
        <v>60000</v>
      </c>
      <c r="H7" s="4">
        <v>900</v>
      </c>
      <c r="I7" s="3">
        <f>H7*E7</f>
        <v>90000</v>
      </c>
      <c r="J7" s="4"/>
      <c r="K7" s="4"/>
      <c r="L7" s="5">
        <f>J7+H7+F7</f>
        <v>1500</v>
      </c>
      <c r="M7" s="3">
        <f>SUM(K7+I7+G7)</f>
        <v>150000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49" t="s">
        <v>70</v>
      </c>
      <c r="D9" s="11" t="s">
        <v>46</v>
      </c>
      <c r="E9" s="3">
        <v>100</v>
      </c>
      <c r="F9" s="4">
        <v>1000</v>
      </c>
      <c r="G9" s="3">
        <f t="shared" ref="G9" si="1">E9*F9</f>
        <v>100000</v>
      </c>
      <c r="H9" s="4">
        <v>1300</v>
      </c>
      <c r="I9" s="3">
        <f t="shared" ref="I9" si="2">H9*E9</f>
        <v>130000</v>
      </c>
      <c r="J9" s="4"/>
      <c r="K9" s="4"/>
      <c r="L9" s="5">
        <f t="shared" ref="L9" si="3">J9+H9+F9</f>
        <v>2300</v>
      </c>
      <c r="M9" s="3">
        <f t="shared" si="0"/>
        <v>230000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3000</v>
      </c>
      <c r="G10" s="3">
        <f t="shared" ref="G10:G12" si="4">E10*F10</f>
        <v>300000</v>
      </c>
      <c r="H10" s="4">
        <v>2900</v>
      </c>
      <c r="I10" s="3">
        <f t="shared" ref="I10:I12" si="5">H10*E10</f>
        <v>290000</v>
      </c>
      <c r="J10" s="4">
        <v>300</v>
      </c>
      <c r="K10" s="3">
        <f>J10*E10</f>
        <v>30000</v>
      </c>
      <c r="L10" s="5">
        <f t="shared" ref="L10:L13" si="6">J10+H10+F10</f>
        <v>6200</v>
      </c>
      <c r="M10" s="3">
        <f t="shared" ref="M10:M13" si="7">SUM(K10+I10+G10)</f>
        <v>620000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6000</v>
      </c>
      <c r="G11" s="3">
        <f t="shared" si="4"/>
        <v>600000</v>
      </c>
      <c r="H11" s="4">
        <v>4000</v>
      </c>
      <c r="I11" s="3">
        <f t="shared" si="5"/>
        <v>400000</v>
      </c>
      <c r="J11" s="4">
        <v>500</v>
      </c>
      <c r="K11" s="3">
        <f>J11*E11</f>
        <v>50000</v>
      </c>
      <c r="L11" s="5">
        <f t="shared" si="6"/>
        <v>10500</v>
      </c>
      <c r="M11" s="3">
        <f t="shared" si="7"/>
        <v>1050000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4000</v>
      </c>
      <c r="G12" s="3">
        <f t="shared" si="4"/>
        <v>0</v>
      </c>
      <c r="H12" s="4">
        <v>4500</v>
      </c>
      <c r="I12" s="3">
        <f t="shared" si="5"/>
        <v>0</v>
      </c>
      <c r="J12" s="4"/>
      <c r="K12" s="3"/>
      <c r="L12" s="5">
        <f t="shared" si="6"/>
        <v>8500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1260000</v>
      </c>
      <c r="H18" s="18"/>
      <c r="I18" s="9">
        <f>SUM(I7:I17)</f>
        <v>1060000</v>
      </c>
      <c r="J18" s="2"/>
      <c r="K18" s="9">
        <f>SUM(K7:K17)</f>
        <v>200000</v>
      </c>
      <c r="L18" s="2"/>
      <c r="M18" s="2">
        <f>SUM(M7:M17)</f>
        <v>2520000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75600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151200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2746800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2700000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2026-03-16T06:10:47Z</dcterms:modified>
  <cp:category/>
  <cp:contentStatus/>
</cp:coreProperties>
</file>