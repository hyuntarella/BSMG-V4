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AF849637-FA06-4017-A77D-603010159997}" xr6:coauthVersionLast="47" xr6:coauthVersionMax="47" xr10:uidLastSave="{00000000-0000-0000-0000-000000000000}"/>
  <bookViews>
    <workbookView xWindow="6345" yWindow="2535" windowWidth="21600" windowHeight="11295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E11" i="5" s="1"/>
  <c r="K14" i="5"/>
  <c r="G9" i="3"/>
  <c r="I9" i="3"/>
  <c r="M9" i="3" s="1"/>
  <c r="L9" i="3"/>
  <c r="K12" i="3"/>
  <c r="L16" i="3"/>
  <c r="L15" i="3"/>
  <c r="L14" i="3"/>
  <c r="L8" i="3"/>
  <c r="M16" i="3" l="1"/>
  <c r="M15" i="3"/>
  <c r="M14" i="3"/>
  <c r="M8" i="3"/>
  <c r="M12" i="3" l="1"/>
  <c r="L12" i="3"/>
  <c r="L13" i="3"/>
  <c r="I13" i="3"/>
  <c r="G13" i="3"/>
  <c r="L7" i="3"/>
  <c r="I7" i="3"/>
  <c r="G7" i="3"/>
  <c r="M13" i="3" l="1"/>
  <c r="M7" i="3"/>
  <c r="L11" i="3"/>
  <c r="K11" i="3"/>
  <c r="I11" i="3"/>
  <c r="G11" i="3"/>
  <c r="L10" i="3"/>
  <c r="K10" i="3"/>
  <c r="I10" i="3"/>
  <c r="G10" i="3"/>
  <c r="M11" i="3" l="1"/>
  <c r="M10" i="3"/>
  <c r="G18" i="3"/>
  <c r="I18" i="3"/>
  <c r="K18" i="3"/>
  <c r="M18" i="3" l="1"/>
  <c r="M20" i="3" s="1"/>
  <c r="M19" i="3" l="1"/>
  <c r="M21" i="3" s="1"/>
  <c r="M22" i="3" s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<sst xmlns="http://schemas.openxmlformats.org/spreadsheetml/2006/main" count="90" uniqueCount="71">
  <si>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</si>
  <si>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</si>
  <si>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</si>
  <si>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</si>
  <si>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</si>
  <si>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</si>
  <si>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</si>
  <si>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</si>
  <si>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</si>
  <si>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</si>
  <si>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</si>
  <si>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</si>
  <si>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</si>
  <si>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</si>
  <si>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</si>
  <si>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</si>
  <si>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</si>
  <si>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</si>
  <si>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</si>
  <si>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</si>
  <si>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</si>
  <si>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</si>
  <si>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</si>
  <si>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</si>
  <si>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</si>
  <si>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</si>
  <si>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</si>
  <si>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</si>
  <si>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</si>
  <si>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</si>
  <si>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</si>
  <si>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</si>
  <si>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</si>
  <si>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</si>
  <si>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</si>
  <si>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)
</t>
    </r>
    <r>
      <rPr>
        <sz val="12"/>
        <color rgb="FF000000"/>
        <rFont val="Arial"/>
        <family val="2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  <family val="2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  <family val="2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</si>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</sst>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맑은 고딕"/>
      <family val="3"/>
      <charset val="129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theme="1" tint="0.14999847407452621"/>
        <bgColor indexed="64"/>
      </patternFill>
    </fill>
  </fills>
  <borders count="61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3" fillId="0" borderId="0"/>
  </cellStyleXfs>
  <cellXfs count="150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77" fontId="6" fillId="7" borderId="15" xfId="0" applyNumberFormat="1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8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8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8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8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8" borderId="1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53" xfId="0" applyFont="1" applyFill="1" applyBorder="1" applyAlignment="1">
      <alignment horizontal="center" vertical="center"/>
    </xf>
    <xf numFmtId="0" fontId="7" fillId="8" borderId="54" xfId="0" applyFont="1" applyFill="1" applyBorder="1" applyAlignment="1">
      <alignment horizontal="center" vertical="center"/>
    </xf>
    <xf numFmtId="0" fontId="7" fillId="8" borderId="56" xfId="0" applyFont="1" applyFill="1" applyBorder="1" applyAlignment="1">
      <alignment horizontal="center" vertical="center"/>
    </xf>
    <xf numFmtId="0" fontId="7" fillId="8" borderId="60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48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19" fillId="0" borderId="16" xfId="0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7" fillId="8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8" borderId="40" xfId="1" applyFont="1" applyFill="1" applyBorder="1" applyAlignment="1">
      <alignment horizontal="center" vertical="center"/>
    </xf>
    <xf numFmtId="0" fontId="7" fillId="8" borderId="41" xfId="1" applyFont="1" applyFill="1" applyBorder="1" applyAlignment="1">
      <alignment horizontal="center" vertical="center"/>
    </xf>
    <xf numFmtId="0" fontId="7" fillId="8" borderId="42" xfId="1" applyFont="1" applyFill="1" applyBorder="1" applyAlignment="1">
      <alignment horizontal="center" vertical="center"/>
    </xf>
    <xf numFmtId="0" fontId="7" fillId="8" borderId="43" xfId="1" applyFont="1" applyFill="1" applyBorder="1" applyAlignment="1">
      <alignment horizontal="center" vertical="center"/>
    </xf>
    <xf numFmtId="0" fontId="7" fillId="8" borderId="45" xfId="1" applyFont="1" applyFill="1" applyBorder="1" applyAlignment="1">
      <alignment horizontal="center" vertical="center"/>
    </xf>
    <xf numFmtId="0" fontId="7" fillId="8" borderId="46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8" borderId="55" xfId="0" applyFont="1" applyFill="1" applyBorder="1" applyAlignment="1">
      <alignment horizontal="center" vertical="center"/>
    </xf>
    <xf numFmtId="0" fontId="7" fillId="8" borderId="57" xfId="0" applyFont="1" applyFill="1" applyBorder="1" applyAlignment="1">
      <alignment horizontal="center" vertical="center"/>
    </xf>
    <xf numFmtId="0" fontId="7" fillId="8" borderId="58" xfId="0" applyFont="1" applyFill="1" applyBorder="1" applyAlignment="1">
      <alignment horizontal="center" vertical="center"/>
    </xf>
    <xf numFmtId="0" fontId="7" fillId="8" borderId="59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A8D3AF9A-7097-440A-8531-6FEA4E6F48A9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8F9FC4F9-B16B-4DA0-89E2-EF0895A2E866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803EC48F-D42A-4F9E-856E-6DAFEFB80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D3D4E192-9645-4255-A282-238CBC2C3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8D0B-DDD9-4C89-86F2-BC55D7F5FC0F}">
  <sheetPr>
    <pageSetUpPr fitToPage="1"/>
  </sheetPr>
  <dimension ref="A1:AO59"/>
  <sheetViews>
    <sheetView topLeftCell="A13" zoomScale="85" zoomScaleNormal="85" zoomScalePageLayoutView="57" workbookViewId="0">
      <selection activeCell="B17" sqref="B17:E17"/>
    </sheetView>
  </sheetViews>
  <sheetFormatPr defaultColWidth="9.125" defaultRowHeight="16.5"/>
  <cols>
    <col min="1" max="1" width="9.125" style="31"/>
    <col min="2" max="2" width="11.25" style="31" bestFit="1" customWidth="1"/>
    <col min="3" max="3" width="1" style="31" customWidth="1"/>
    <col min="4" max="4" width="4.125" style="31" customWidth="1"/>
    <col min="5" max="5" width="35.75" style="31" customWidth="1"/>
    <col min="6" max="6" width="3" style="31" hidden="1" customWidth="1"/>
    <col min="7" max="7" width="6.875" style="31" customWidth="1"/>
    <col min="8" max="8" width="14.25" style="31" bestFit="1" customWidth="1"/>
    <col min="9" max="9" width="1" style="31" customWidth="1"/>
    <col min="10" max="10" width="16.125" style="31" customWidth="1"/>
    <col min="11" max="11" width="0.125" style="31" customWidth="1"/>
    <col min="12" max="12" width="13.125" style="31" customWidth="1"/>
    <col min="13" max="13" width="1" style="63" customWidth="1"/>
    <col min="14" max="14" width="25.25" style="31" customWidth="1"/>
    <col min="15" max="15" width="7" style="31" customWidth="1"/>
    <col min="16" max="16" width="1" style="31" customWidth="1"/>
    <col min="17" max="17" width="9.125" style="31"/>
    <col min="18" max="18" width="3.75" style="31" customWidth="1"/>
    <col min="19" max="16384" width="9.125" style="31"/>
  </cols>
  <sheetData>
    <row r="1" spans="1:41" ht="21.75" customHeight="1">
      <c r="A1" s="30"/>
      <c r="B1" s="128" t="s">
        <v>0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ht="15" customHeight="1">
      <c r="A2" s="30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spans="1:41" ht="15" customHeight="1">
      <c r="A3" s="30"/>
      <c r="B3" s="30"/>
      <c r="C3" s="30"/>
      <c r="D3" s="30"/>
      <c r="E3" s="30"/>
      <c r="F3" s="30"/>
      <c r="G3" s="30"/>
      <c r="H3" s="32"/>
      <c r="I3" s="32"/>
      <c r="J3" s="32"/>
      <c r="K3" s="32"/>
      <c r="L3" s="30"/>
      <c r="M3" s="33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spans="1:41" ht="16.5" customHeight="1">
      <c r="A4" s="34"/>
      <c r="B4" s="34"/>
      <c r="C4" s="34"/>
      <c r="D4" s="34"/>
      <c r="E4" s="34"/>
      <c r="F4" s="30"/>
      <c r="G4" s="35"/>
      <c r="H4" s="35"/>
      <c r="I4" s="35"/>
      <c r="J4" s="35"/>
      <c r="K4" s="35"/>
      <c r="L4" s="35"/>
      <c r="M4" s="36"/>
      <c r="N4" s="35"/>
      <c r="O4" s="35"/>
      <c r="P4" s="35"/>
      <c r="Q4" s="35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</row>
    <row r="5" spans="1:41" ht="21" customHeight="1" thickBot="1">
      <c r="A5" s="34"/>
      <c r="B5" s="37"/>
      <c r="C5" s="37"/>
      <c r="D5" s="37"/>
      <c r="E5" s="37"/>
      <c r="F5" s="33"/>
      <c r="G5" s="36"/>
      <c r="H5" s="38" t="s">
        <v>1</v>
      </c>
      <c r="I5" s="38"/>
      <c r="J5" s="39"/>
      <c r="K5" s="39"/>
      <c r="L5" s="39"/>
      <c r="M5" s="38"/>
      <c r="N5" s="39"/>
      <c r="O5" s="39"/>
      <c r="P5" s="39"/>
      <c r="Q5" s="39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</row>
    <row r="6" spans="1:41" ht="27" customHeight="1" thickTop="1">
      <c r="B6" s="40" t="s">
        <v>2</v>
      </c>
      <c r="C6" s="41"/>
      <c r="D6" s="129">
        <v>26030901</v>
      </c>
      <c r="E6" s="129"/>
      <c r="F6" s="129"/>
      <c r="G6" s="42"/>
      <c r="H6" s="43" t="s">
        <v>3</v>
      </c>
      <c r="I6" s="44"/>
      <c r="J6" s="130" t="s">
        <v>4</v>
      </c>
      <c r="K6" s="130"/>
      <c r="L6" s="43" t="s">
        <v>5</v>
      </c>
      <c r="M6" s="44"/>
      <c r="N6" s="45" t="s">
        <v>6</v>
      </c>
      <c r="O6" s="43" t="s">
        <v>7</v>
      </c>
      <c r="P6" s="44"/>
      <c r="Q6" s="130" t="s">
        <v>8</v>
      </c>
      <c r="R6" s="1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</row>
    <row r="7" spans="1:41" ht="26.25" customHeight="1">
      <c r="A7" s="34"/>
      <c r="B7" s="46" t="s">
        <v>9</v>
      </c>
      <c r="C7" s="47"/>
      <c r="D7" s="131">
        <v>46090</v>
      </c>
      <c r="E7" s="131"/>
      <c r="F7" s="132"/>
      <c r="G7" s="42"/>
      <c r="H7" s="48" t="s">
        <v>10</v>
      </c>
      <c r="I7" s="49"/>
      <c r="J7" s="133" t="s">
        <v>11</v>
      </c>
      <c r="K7" s="133"/>
      <c r="L7" s="48" t="s">
        <v>12</v>
      </c>
      <c r="M7" s="49"/>
      <c r="N7" s="134" t="s">
        <v>13</v>
      </c>
      <c r="O7" s="134"/>
      <c r="P7" s="134"/>
      <c r="Q7" s="134"/>
      <c r="R7" s="134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 spans="1:41" ht="26.25" customHeight="1">
      <c r="A8" s="34"/>
      <c r="B8" s="46" t="s">
        <v>14</v>
      </c>
      <c r="C8" s="47"/>
      <c r="D8" s="135" t="s">
        <v>15</v>
      </c>
      <c r="E8" s="136"/>
      <c r="F8" s="137"/>
      <c r="G8" s="42"/>
      <c r="H8" s="48" t="s">
        <v>16</v>
      </c>
      <c r="I8" s="49"/>
      <c r="J8" s="133" t="s">
        <v>17</v>
      </c>
      <c r="K8" s="138"/>
      <c r="L8" s="48" t="s">
        <v>18</v>
      </c>
      <c r="M8" s="49"/>
      <c r="N8" s="134" t="s">
        <v>19</v>
      </c>
      <c r="O8" s="134"/>
      <c r="P8" s="134"/>
      <c r="Q8" s="134"/>
      <c r="R8" s="134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</row>
    <row r="9" spans="1:41" ht="27.75" customHeight="1">
      <c r="A9" s="34"/>
      <c r="B9" s="50" t="s">
        <v>20</v>
      </c>
      <c r="C9" s="47"/>
      <c r="D9" s="139" t="s">
        <v>21</v>
      </c>
      <c r="E9" s="139"/>
      <c r="F9" s="139"/>
      <c r="G9" s="42"/>
      <c r="H9" s="51" t="s">
        <v>22</v>
      </c>
      <c r="I9" s="52"/>
      <c r="J9" s="140" t="s">
        <v>23</v>
      </c>
      <c r="K9" s="141"/>
      <c r="L9" s="141"/>
      <c r="M9" s="141"/>
      <c r="N9" s="141"/>
      <c r="O9" s="141"/>
      <c r="P9" s="141"/>
      <c r="Q9" s="141"/>
      <c r="R9" s="141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</row>
    <row r="10" spans="1:41" ht="17.25" thickBot="1">
      <c r="A10" s="34"/>
      <c r="B10" s="53"/>
      <c r="C10" s="53"/>
      <c r="D10" s="53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spans="1:41" ht="50.25" customHeight="1" thickTop="1">
      <c r="A11" s="34"/>
      <c r="B11" s="116" t="s">
        <v>24</v>
      </c>
      <c r="C11" s="116"/>
      <c r="D11" s="116"/>
      <c r="E11" s="117" t="str">
        <f>"일금 "&amp;NUMBERSTRING(K18,1)&amp;" 원정"&amp;TEXT(K18,"(₩#,###)")</f>
        <v>일금 삼백육십만 원정(₩3,600,000)</v>
      </c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spans="1:41" ht="17.25" thickBot="1">
      <c r="A12" s="30"/>
      <c r="B12" s="54"/>
      <c r="C12" s="54"/>
      <c r="D12" s="54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 spans="1:41" ht="29.25" customHeight="1" thickTop="1">
      <c r="A13" s="30"/>
      <c r="B13" s="119" t="s">
        <v>25</v>
      </c>
      <c r="C13" s="120"/>
      <c r="D13" s="120"/>
      <c r="E13" s="121"/>
      <c r="F13" s="122" t="s">
        <v>26</v>
      </c>
      <c r="G13" s="121"/>
      <c r="H13" s="55" t="s">
        <v>27</v>
      </c>
      <c r="I13" s="123" t="s">
        <v>28</v>
      </c>
      <c r="J13" s="124"/>
      <c r="K13" s="125" t="s">
        <v>29</v>
      </c>
      <c r="L13" s="125"/>
      <c r="M13" s="125"/>
      <c r="N13" s="126"/>
      <c r="O13" s="125" t="s">
        <v>30</v>
      </c>
      <c r="P13" s="125"/>
      <c r="Q13" s="125"/>
      <c r="R13" s="125"/>
      <c r="S13" s="56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</row>
    <row r="14" spans="1:41" ht="28.5" customHeight="1">
      <c r="A14" s="30"/>
      <c r="B14" s="105" t="str">
        <f>Sheet2!C3</f>
        <v>옥상 우레탄방수 3mm (제 2안)</v>
      </c>
      <c r="C14" s="103"/>
      <c r="D14" s="103"/>
      <c r="E14" s="104"/>
      <c r="F14" s="106" t="s">
        <v>31</v>
      </c>
      <c r="G14" s="95"/>
      <c r="H14" s="57">
        <v>1</v>
      </c>
      <c r="I14" s="107"/>
      <c r="J14" s="108"/>
      <c r="K14" s="109">
        <f>Sheet2!M21</f>
        <v>3618800</v>
      </c>
      <c r="L14" s="103"/>
      <c r="M14" s="103"/>
      <c r="N14" s="104"/>
      <c r="O14" s="110"/>
      <c r="P14" s="111"/>
      <c r="Q14" s="111"/>
      <c r="R14" s="112"/>
      <c r="S14" s="56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 spans="1:41" ht="25.5" customHeight="1">
      <c r="A15" s="30"/>
      <c r="B15" s="113"/>
      <c r="C15" s="114"/>
      <c r="D15" s="114"/>
      <c r="E15" s="115"/>
      <c r="F15" s="97"/>
      <c r="G15" s="97"/>
      <c r="H15" s="58"/>
      <c r="I15" s="98"/>
      <c r="J15" s="97"/>
      <c r="K15" s="93"/>
      <c r="L15" s="94"/>
      <c r="M15" s="94"/>
      <c r="N15" s="95"/>
      <c r="O15" s="90"/>
      <c r="P15" s="91"/>
      <c r="Q15" s="91"/>
      <c r="R15" s="92"/>
      <c r="S15" s="56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</row>
    <row r="16" spans="1:41" ht="25.5" customHeight="1">
      <c r="A16" s="30"/>
      <c r="B16" s="90"/>
      <c r="C16" s="91"/>
      <c r="D16" s="91"/>
      <c r="E16" s="92"/>
      <c r="F16" s="90"/>
      <c r="G16" s="92"/>
      <c r="H16" s="58"/>
      <c r="I16" s="90"/>
      <c r="J16" s="92"/>
      <c r="K16" s="93"/>
      <c r="L16" s="94"/>
      <c r="M16" s="94"/>
      <c r="N16" s="95"/>
      <c r="O16" s="90"/>
      <c r="P16" s="91"/>
      <c r="Q16" s="91"/>
      <c r="R16" s="92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</row>
    <row r="17" spans="1:41" ht="25.5" customHeight="1">
      <c r="A17" s="30"/>
      <c r="B17" s="90"/>
      <c r="C17" s="91"/>
      <c r="D17" s="91"/>
      <c r="E17" s="96"/>
      <c r="F17" s="97"/>
      <c r="G17" s="97"/>
      <c r="H17" s="58"/>
      <c r="I17" s="98"/>
      <c r="J17" s="97"/>
      <c r="K17" s="93"/>
      <c r="L17" s="94"/>
      <c r="M17" s="94"/>
      <c r="N17" s="95"/>
      <c r="O17" s="90"/>
      <c r="P17" s="91"/>
      <c r="Q17" s="91"/>
      <c r="R17" s="92"/>
      <c r="S17" s="56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</row>
    <row r="18" spans="1:41" ht="27" customHeight="1">
      <c r="A18" s="30"/>
      <c r="B18" s="73" t="s">
        <v>32</v>
      </c>
      <c r="C18" s="74"/>
      <c r="D18" s="74"/>
      <c r="E18" s="99"/>
      <c r="F18" s="100"/>
      <c r="G18" s="101"/>
      <c r="H18" s="59"/>
      <c r="I18" s="73"/>
      <c r="J18" s="74"/>
      <c r="K18" s="102">
        <f>Sheet2!M22</f>
        <v>3600000</v>
      </c>
      <c r="L18" s="103"/>
      <c r="M18" s="103"/>
      <c r="N18" s="104"/>
      <c r="O18" s="73" t="s">
        <v>33</v>
      </c>
      <c r="P18" s="74"/>
      <c r="Q18" s="74"/>
      <c r="R18" s="74"/>
      <c r="S18" s="56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</row>
    <row r="19" spans="1:41" ht="26.25" customHeight="1">
      <c r="A19" s="30"/>
      <c r="B19" s="75" t="s">
        <v>34</v>
      </c>
      <c r="C19" s="76"/>
      <c r="D19" s="81" t="s">
        <v>35</v>
      </c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3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</row>
    <row r="20" spans="1:41" ht="19.5" customHeight="1">
      <c r="A20" s="30"/>
      <c r="B20" s="77"/>
      <c r="C20" s="78"/>
      <c r="D20" s="84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6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21" customHeight="1">
      <c r="A21" s="30"/>
      <c r="B21" s="77"/>
      <c r="C21" s="78"/>
      <c r="D21" s="84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6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>
      <c r="A22" s="30"/>
      <c r="B22" s="79"/>
      <c r="C22" s="80"/>
      <c r="D22" s="87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9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spans="1:41">
      <c r="A23" s="3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</row>
    <row r="24" spans="1:41">
      <c r="A24" s="30"/>
      <c r="B24" s="61"/>
      <c r="C24" s="61"/>
      <c r="D24" s="61"/>
      <c r="E24" s="62" t="s">
        <v>36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spans="1:41">
      <c r="A25" s="3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41">
      <c r="A26" s="3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1:41">
      <c r="A27" s="3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spans="1:41">
      <c r="A28" s="3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</row>
    <row r="29" spans="1:41">
      <c r="A29" s="3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</row>
    <row r="30" spans="1:41">
      <c r="A30" s="3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</row>
    <row r="31" spans="1:41">
      <c r="A31" s="3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</row>
    <row r="32" spans="1:41">
      <c r="A32" s="3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</row>
    <row r="33" spans="1:41">
      <c r="A33" s="3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</row>
    <row r="34" spans="1:41">
      <c r="A34" s="3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</row>
    <row r="35" spans="1:4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3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</row>
    <row r="36" spans="1:4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3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</row>
    <row r="37" spans="1:4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3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spans="1:4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3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</row>
    <row r="39" spans="1:4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3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</row>
    <row r="40" spans="1:4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3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</row>
    <row r="41" spans="1: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3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</row>
    <row r="42" spans="1:4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3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</row>
    <row r="43" spans="1:4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3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</row>
    <row r="44" spans="1:4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3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</row>
    <row r="45" spans="1:4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3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</row>
    <row r="46" spans="1:4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3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</row>
    <row r="47" spans="1:4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3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</row>
    <row r="48" spans="1:4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3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</row>
    <row r="49" spans="1:4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3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3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</row>
    <row r="51" spans="1:4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3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</row>
    <row r="52" spans="1:4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3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</row>
    <row r="53" spans="1:4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3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</row>
    <row r="54" spans="1:4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3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</row>
    <row r="55" spans="1:4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3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</row>
    <row r="56" spans="1:4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3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</row>
    <row r="57" spans="1:4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3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</row>
    <row r="58" spans="1:4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3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</row>
    <row r="59" spans="1:4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3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O14:R14"/>
    <mergeCell ref="B15:E15"/>
    <mergeCell ref="F15:G15"/>
    <mergeCell ref="I15:J15"/>
    <mergeCell ref="K15:N15"/>
    <mergeCell ref="O15:R15"/>
    <mergeCell ref="K18:N18"/>
    <mergeCell ref="B14:E14"/>
    <mergeCell ref="F14:G14"/>
    <mergeCell ref="I14:J14"/>
    <mergeCell ref="K14:N14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topLeftCell="A6" zoomScale="70" zoomScaleNormal="70" workbookViewId="0">
      <selection activeCell="C9" sqref="C9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4" t="s">
        <v>37</v>
      </c>
      <c r="C3" s="146" t="s">
        <v>38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8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5" t="s">
        <v>25</v>
      </c>
      <c r="C5" s="67" t="s">
        <v>26</v>
      </c>
      <c r="D5" s="67" t="s">
        <v>39</v>
      </c>
      <c r="E5" s="67" t="s">
        <v>27</v>
      </c>
      <c r="F5" s="142" t="s">
        <v>40</v>
      </c>
      <c r="G5" s="143"/>
      <c r="H5" s="142" t="s">
        <v>41</v>
      </c>
      <c r="I5" s="143"/>
      <c r="J5" s="144" t="s">
        <v>42</v>
      </c>
      <c r="K5" s="145"/>
      <c r="L5" s="144" t="s">
        <v>43</v>
      </c>
      <c r="M5" s="145"/>
      <c r="N5" s="72" t="s">
        <v>30</v>
      </c>
      <c r="O5" s="1"/>
      <c r="P5" s="1"/>
      <c r="Q5" s="1"/>
      <c r="R5" s="1"/>
    </row>
    <row r="6" spans="1:18" ht="31.35" customHeight="1">
      <c r="A6" s="1"/>
      <c r="B6" s="66"/>
      <c r="C6" s="68"/>
      <c r="D6" s="68"/>
      <c r="E6" s="68"/>
      <c r="F6" s="69" t="s">
        <v>28</v>
      </c>
      <c r="G6" s="68" t="s">
        <v>29</v>
      </c>
      <c r="H6" s="69" t="s">
        <v>28</v>
      </c>
      <c r="I6" s="68" t="s">
        <v>29</v>
      </c>
      <c r="J6" s="69" t="s">
        <v>28</v>
      </c>
      <c r="K6" s="69" t="s">
        <v>29</v>
      </c>
      <c r="L6" s="70" t="s">
        <v>28</v>
      </c>
      <c r="M6" s="69" t="s">
        <v>29</v>
      </c>
      <c r="N6" s="71"/>
      <c r="O6" s="1"/>
      <c r="P6" s="1"/>
      <c r="Q6" s="1"/>
      <c r="R6" s="1"/>
    </row>
    <row r="7" spans="1:18" ht="30" customHeight="1">
      <c r="A7" s="1"/>
      <c r="B7" s="17" t="s">
        <v>44</v>
      </c>
      <c r="C7" s="6" t="s">
        <v>45</v>
      </c>
      <c r="D7" s="12" t="s">
        <v>46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2"/>
    </row>
    <row r="8" spans="1:18" ht="34.5">
      <c r="A8" s="1"/>
      <c r="B8" s="27" t="s">
        <v>47</v>
      </c>
      <c r="C8" s="28"/>
      <c r="D8" s="29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2"/>
    </row>
    <row r="9" spans="1:18" ht="37.9" customHeight="1">
      <c r="A9" s="1"/>
      <c r="B9" s="15" t="s">
        <v>49</v>
      </c>
      <c r="C9" s="149" t="s">
        <v>70</v>
      </c>
      <c r="D9" s="12" t="s">
        <v>46</v>
      </c>
      <c r="E9" s="3">
        <v>100</v>
      </c>
      <c r="F9" s="4">
        <v>1200</v>
      </c>
      <c r="G9" s="3">
        <f t="shared" ref="G9:G11" si="1">E9*F9</f>
        <v>120000</v>
      </c>
      <c r="H9" s="4">
        <v>1400</v>
      </c>
      <c r="I9" s="3">
        <f t="shared" ref="I9:I11" si="2">H9*E9</f>
        <v>140000</v>
      </c>
      <c r="J9" s="4"/>
      <c r="K9" s="4"/>
      <c r="L9" s="5">
        <f t="shared" ref="L9:L12" si="3">J9+H9+F9</f>
        <v>2600</v>
      </c>
      <c r="M9" s="3">
        <f t="shared" ref="M9:M12" si="4">SUM(K9+I9+G9)</f>
        <v>260000</v>
      </c>
      <c r="N9" s="12"/>
    </row>
    <row r="10" spans="1:18" ht="30" customHeight="1">
      <c r="A10" s="1"/>
      <c r="B10" s="15" t="s">
        <v>50</v>
      </c>
      <c r="C10" s="6" t="s">
        <v>51</v>
      </c>
      <c r="D10" s="12" t="s">
        <v>46</v>
      </c>
      <c r="E10" s="3">
        <v>100</v>
      </c>
      <c r="F10" s="4">
        <v>5000</v>
      </c>
      <c r="G10" s="3">
        <f t="shared" si="1"/>
        <v>500000</v>
      </c>
      <c r="H10" s="4">
        <v>3300</v>
      </c>
      <c r="I10" s="3">
        <f t="shared" si="2"/>
        <v>330000</v>
      </c>
      <c r="J10" s="4">
        <v>300</v>
      </c>
      <c r="K10" s="3">
        <f>J10*E10</f>
        <v>30000</v>
      </c>
      <c r="L10" s="5">
        <f t="shared" si="3"/>
        <v>8600</v>
      </c>
      <c r="M10" s="3">
        <f t="shared" si="4"/>
        <v>860000</v>
      </c>
      <c r="N10" s="12"/>
    </row>
    <row r="11" spans="1:18" ht="30" customHeight="1">
      <c r="A11" s="1"/>
      <c r="B11" s="16" t="s">
        <v>52</v>
      </c>
      <c r="C11" s="6" t="s">
        <v>53</v>
      </c>
      <c r="D11" s="12" t="s">
        <v>46</v>
      </c>
      <c r="E11" s="3">
        <v>100</v>
      </c>
      <c r="F11" s="4">
        <v>10000</v>
      </c>
      <c r="G11" s="3">
        <f t="shared" si="1"/>
        <v>1000000</v>
      </c>
      <c r="H11" s="4">
        <v>5400</v>
      </c>
      <c r="I11" s="3">
        <f t="shared" si="2"/>
        <v>540000</v>
      </c>
      <c r="J11" s="4">
        <v>400</v>
      </c>
      <c r="K11" s="3">
        <f>J11*E11</f>
        <v>40000</v>
      </c>
      <c r="L11" s="5">
        <f t="shared" si="3"/>
        <v>15800</v>
      </c>
      <c r="M11" s="3">
        <f t="shared" si="4"/>
        <v>1580000</v>
      </c>
      <c r="N11" s="12"/>
    </row>
    <row r="12" spans="1:18" ht="30" customHeight="1">
      <c r="A12" s="1"/>
      <c r="B12" s="16" t="s">
        <v>54</v>
      </c>
      <c r="C12" s="6" t="s">
        <v>55</v>
      </c>
      <c r="D12" s="12" t="s">
        <v>46</v>
      </c>
      <c r="E12" s="3"/>
      <c r="F12" s="4">
        <v>5000</v>
      </c>
      <c r="G12" s="4"/>
      <c r="H12" s="4">
        <v>4300</v>
      </c>
      <c r="I12" s="4"/>
      <c r="J12" s="4">
        <v>500</v>
      </c>
      <c r="K12" s="3">
        <f>J12*E12</f>
        <v>0</v>
      </c>
      <c r="L12" s="7">
        <f t="shared" si="3"/>
        <v>9800</v>
      </c>
      <c r="M12" s="3">
        <f t="shared" si="4"/>
        <v>0</v>
      </c>
      <c r="N12" s="12"/>
    </row>
    <row r="13" spans="1:18" ht="30" customHeight="1">
      <c r="B13" s="16" t="s">
        <v>56</v>
      </c>
      <c r="C13" s="6" t="s">
        <v>57</v>
      </c>
      <c r="D13" s="12" t="s">
        <v>46</v>
      </c>
      <c r="E13" s="3">
        <v>100</v>
      </c>
      <c r="F13" s="4">
        <v>2200</v>
      </c>
      <c r="G13" s="3">
        <f t="shared" ref="G13" si="5">E13*F13</f>
        <v>220000</v>
      </c>
      <c r="H13" s="4">
        <v>1800</v>
      </c>
      <c r="I13" s="3">
        <f t="shared" ref="I13" si="6">H13*E13</f>
        <v>180000</v>
      </c>
      <c r="J13" s="4"/>
      <c r="K13" s="4"/>
      <c r="L13" s="5">
        <f t="shared" ref="L13" si="7">J13+H13+F13</f>
        <v>4000</v>
      </c>
      <c r="M13" s="3">
        <f t="shared" ref="M13:M16" si="8">SUM(K13+I13+G13)</f>
        <v>400000</v>
      </c>
      <c r="N13" s="12"/>
    </row>
    <row r="14" spans="1:18" ht="30" customHeight="1">
      <c r="B14" s="16" t="s">
        <v>58</v>
      </c>
      <c r="C14" s="6"/>
      <c r="D14" s="12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si="8"/>
        <v>120000</v>
      </c>
      <c r="N14" s="12"/>
    </row>
    <row r="15" spans="1:18" ht="30" customHeight="1">
      <c r="B15" s="16" t="s">
        <v>60</v>
      </c>
      <c r="C15" s="6"/>
      <c r="D15" s="12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si="8"/>
        <v>0</v>
      </c>
      <c r="N15" s="12"/>
    </row>
    <row r="16" spans="1:18" ht="30" customHeight="1">
      <c r="B16" s="16" t="s">
        <v>62</v>
      </c>
      <c r="C16" s="6"/>
      <c r="D16" s="12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8"/>
        <v>0</v>
      </c>
      <c r="N16" s="12"/>
    </row>
    <row r="17" spans="2:14" ht="30" customHeight="1">
      <c r="B17" s="16"/>
      <c r="C17" s="6"/>
      <c r="D17" s="12"/>
      <c r="E17" s="3"/>
      <c r="F17" s="3"/>
      <c r="G17" s="3"/>
      <c r="H17" s="3"/>
      <c r="I17" s="3"/>
      <c r="J17" s="3"/>
      <c r="K17" s="3"/>
      <c r="L17" s="5"/>
      <c r="M17" s="3"/>
      <c r="N17" s="12"/>
    </row>
    <row r="18" spans="2:14" ht="30" customHeight="1">
      <c r="B18" s="18" t="s">
        <v>63</v>
      </c>
      <c r="C18" s="8"/>
      <c r="D18" s="9"/>
      <c r="E18" s="2"/>
      <c r="F18" s="2"/>
      <c r="G18" s="10">
        <f>SUM(G7:G17)</f>
        <v>1870000</v>
      </c>
      <c r="H18" s="19"/>
      <c r="I18" s="10">
        <f>SUM(I7:I17)</f>
        <v>1260000</v>
      </c>
      <c r="J18" s="2"/>
      <c r="K18" s="10">
        <f>SUM(K7:K17)</f>
        <v>190000</v>
      </c>
      <c r="L18" s="2"/>
      <c r="M18" s="2">
        <f>SUM(M7:M17)</f>
        <v>3320000</v>
      </c>
      <c r="N18" s="11"/>
    </row>
    <row r="19" spans="2:14" ht="32.450000000000003" customHeight="1">
      <c r="B19" s="20" t="s">
        <v>64</v>
      </c>
      <c r="C19" s="6"/>
      <c r="D19" s="12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99600</v>
      </c>
      <c r="N19" s="12"/>
    </row>
    <row r="20" spans="2:14" ht="30" customHeight="1">
      <c r="B20" s="21" t="s">
        <v>66</v>
      </c>
      <c r="C20" s="6"/>
      <c r="D20" s="12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199200</v>
      </c>
      <c r="N20" s="12"/>
    </row>
    <row r="21" spans="2:14" ht="30" customHeight="1">
      <c r="B21" s="22" t="s">
        <v>67</v>
      </c>
      <c r="C21" s="23"/>
      <c r="D21" s="11"/>
      <c r="E21" s="11"/>
      <c r="F21" s="13"/>
      <c r="G21" s="10"/>
      <c r="H21" s="11"/>
      <c r="I21" s="10"/>
      <c r="J21" s="11"/>
      <c r="K21" s="10"/>
      <c r="L21" s="11"/>
      <c r="M21" s="10">
        <f>SUM(M18:M20)</f>
        <v>3618800</v>
      </c>
      <c r="N21" s="11"/>
    </row>
    <row r="22" spans="2:14" ht="30" customHeight="1">
      <c r="B22" s="24" t="s">
        <v>68</v>
      </c>
      <c r="C22" s="25"/>
      <c r="D22" s="11"/>
      <c r="E22" s="11"/>
      <c r="F22" s="13"/>
      <c r="G22" s="11"/>
      <c r="H22" s="11"/>
      <c r="I22" s="11"/>
      <c r="J22" s="11"/>
      <c r="K22" s="11"/>
      <c r="L22" s="11"/>
      <c r="M22" s="14">
        <f>FLOOR(M21, 100000)</f>
        <v>3600000</v>
      </c>
      <c r="N22" s="26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2026-03-16T06:07:06Z</dcterms:modified>
  <cp:category/>
  <cp:contentStatus/>
</cp:coreProperties>
</file>