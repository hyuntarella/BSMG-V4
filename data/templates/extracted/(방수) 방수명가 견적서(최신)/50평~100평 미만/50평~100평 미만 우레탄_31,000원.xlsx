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72CC7E74-542E-4630-B749-37751752FD3A}" xr6:coauthVersionLast="47" xr6:coauthVersionMax="47" xr10:uidLastSave="{00000000-0000-0000-0000-000000000000}"/>
  <bookViews>
    <workbookView xWindow="6210" yWindow="2445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G10" i="3"/>
  <c r="I10" i="3"/>
  <c r="K10" i="3"/>
  <c r="L10" i="3"/>
  <c r="G11" i="3"/>
  <c r="M11" i="3" s="1"/>
  <c r="I11" i="3"/>
  <c r="K11" i="3"/>
  <c r="L11" i="3"/>
  <c r="L9" i="3"/>
  <c r="I9" i="3"/>
  <c r="G9" i="3"/>
  <c r="M10" i="3" l="1"/>
  <c r="M9" i="3"/>
  <c r="L13" i="3"/>
  <c r="I13" i="3"/>
  <c r="G13" i="3"/>
  <c r="M13" i="3" l="1"/>
  <c r="K12" i="3"/>
  <c r="L16" i="3"/>
  <c r="L15" i="3"/>
  <c r="L14" i="3"/>
  <c r="L8" i="3"/>
  <c r="M16" i="3" l="1"/>
  <c r="M15" i="3"/>
  <c r="M14" i="3"/>
  <c r="M8" i="3"/>
  <c r="M12" i="3" l="1"/>
  <c r="L12" i="3"/>
  <c r="L7" i="3"/>
  <c r="I7" i="3"/>
  <c r="G7" i="3"/>
  <c r="M7" i="3" l="1"/>
  <c r="G18" i="3" l="1"/>
  <c r="I18" i="3"/>
  <c r="K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<sst xmlns="http://schemas.openxmlformats.org/spreadsheetml/2006/main" count="90" uniqueCount="71">
  <si>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</si>
  <si>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</si>
  <si>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</si>
  <si>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</si>
  <si>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</si>
  <si>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</si>
  <si>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</si>
  <si>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</si>
  <si>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</si>
  <si>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</si>
  <si>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</si>
  <si>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</si>
  <si>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</si>
  <si>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</si>
  <si>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</si>
  <si>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</si>
  <si>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</si>
  <si>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</si>
  <si>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</si>
  <si>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</si>
  <si>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</si>
  <si>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</si>
  <si>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</si>
  <si>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</si>
  <si>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</si>
  <si>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</si>
  <si>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</si>
  <si>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</si>
  <si>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</si>
  <si>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</si>
  <si>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</si>
  <si>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</si>
  <si>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</si>
  <si>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</si>
  <si>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</si>
  <si>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)
</t>
    </r>
    <r>
      <rPr>
        <sz val="12"/>
        <color rgb="FF000000"/>
        <rFont val="Arial"/>
        <family val="2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  <family val="2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  <family val="2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</si>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</sst>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6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3" fillId="0" borderId="0"/>
  </cellStyleXfs>
  <cellXfs count="150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7" fontId="6" fillId="7" borderId="15" xfId="0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8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8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8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8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7" fillId="8" borderId="56" xfId="0" applyFont="1" applyFill="1" applyBorder="1" applyAlignment="1">
      <alignment horizontal="center" vertical="center"/>
    </xf>
    <xf numFmtId="0" fontId="7" fillId="8" borderId="60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55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7" fillId="8" borderId="58" xfId="0" applyFont="1" applyFill="1" applyBorder="1" applyAlignment="1">
      <alignment horizontal="center" vertical="center"/>
    </xf>
    <xf numFmtId="0" fontId="7" fillId="8" borderId="59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8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8" borderId="40" xfId="1" applyFont="1" applyFill="1" applyBorder="1" applyAlignment="1">
      <alignment horizontal="center" vertical="center"/>
    </xf>
    <xf numFmtId="0" fontId="7" fillId="8" borderId="41" xfId="1" applyFont="1" applyFill="1" applyBorder="1" applyAlignment="1">
      <alignment horizontal="center" vertical="center"/>
    </xf>
    <xf numFmtId="0" fontId="7" fillId="8" borderId="42" xfId="1" applyFont="1" applyFill="1" applyBorder="1" applyAlignment="1">
      <alignment horizontal="center" vertical="center"/>
    </xf>
    <xf numFmtId="0" fontId="7" fillId="8" borderId="43" xfId="1" applyFont="1" applyFill="1" applyBorder="1" applyAlignment="1">
      <alignment horizontal="center" vertical="center"/>
    </xf>
    <xf numFmtId="0" fontId="7" fillId="8" borderId="45" xfId="1" applyFont="1" applyFill="1" applyBorder="1" applyAlignment="1">
      <alignment horizontal="center" vertical="center"/>
    </xf>
    <xf numFmtId="0" fontId="7" fillId="8" borderId="46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BABBC4F2-CA75-466C-9F34-C8CE438400B0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70899BC3-C12A-4820-B5A3-41A5B92B75C3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3515D6D9-BBBE-45EF-B5CC-5816CA808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0A7FDF55-CF20-4D0B-90A5-146561107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3568-63D7-4218-A454-779804AEC322}">
  <sheetPr>
    <pageSetUpPr fitToPage="1"/>
  </sheetPr>
  <dimension ref="A1:AO59"/>
  <sheetViews>
    <sheetView topLeftCell="A16" zoomScale="85" zoomScaleNormal="85" zoomScalePageLayoutView="57" workbookViewId="0">
      <selection activeCell="D19" sqref="D19:R22"/>
    </sheetView>
  </sheetViews>
  <sheetFormatPr defaultColWidth="9.125" defaultRowHeight="16.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3.125" style="3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81" t="s">
        <v>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82">
        <v>26030901</v>
      </c>
      <c r="E6" s="82"/>
      <c r="F6" s="82"/>
      <c r="G6" s="42"/>
      <c r="H6" s="43" t="s">
        <v>3</v>
      </c>
      <c r="I6" s="44"/>
      <c r="J6" s="83" t="s">
        <v>4</v>
      </c>
      <c r="K6" s="83"/>
      <c r="L6" s="43" t="s">
        <v>5</v>
      </c>
      <c r="M6" s="44"/>
      <c r="N6" s="45" t="s">
        <v>6</v>
      </c>
      <c r="O6" s="43" t="s">
        <v>7</v>
      </c>
      <c r="P6" s="44"/>
      <c r="Q6" s="83" t="s">
        <v>8</v>
      </c>
      <c r="R6" s="83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84">
        <v>46090</v>
      </c>
      <c r="E7" s="84"/>
      <c r="F7" s="85"/>
      <c r="G7" s="42"/>
      <c r="H7" s="48" t="s">
        <v>10</v>
      </c>
      <c r="I7" s="49"/>
      <c r="J7" s="86" t="s">
        <v>11</v>
      </c>
      <c r="K7" s="86"/>
      <c r="L7" s="48" t="s">
        <v>12</v>
      </c>
      <c r="M7" s="49"/>
      <c r="N7" s="87" t="s">
        <v>13</v>
      </c>
      <c r="O7" s="87"/>
      <c r="P7" s="87"/>
      <c r="Q7" s="87"/>
      <c r="R7" s="87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88" t="s">
        <v>15</v>
      </c>
      <c r="E8" s="89"/>
      <c r="F8" s="90"/>
      <c r="G8" s="42"/>
      <c r="H8" s="48" t="s">
        <v>16</v>
      </c>
      <c r="I8" s="49"/>
      <c r="J8" s="86" t="s">
        <v>17</v>
      </c>
      <c r="K8" s="91"/>
      <c r="L8" s="48" t="s">
        <v>18</v>
      </c>
      <c r="M8" s="49"/>
      <c r="N8" s="87" t="s">
        <v>19</v>
      </c>
      <c r="O8" s="87"/>
      <c r="P8" s="87"/>
      <c r="Q8" s="87"/>
      <c r="R8" s="87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92" t="s">
        <v>21</v>
      </c>
      <c r="E9" s="92"/>
      <c r="F9" s="92"/>
      <c r="G9" s="42"/>
      <c r="H9" s="51" t="s">
        <v>22</v>
      </c>
      <c r="I9" s="52"/>
      <c r="J9" s="93" t="s">
        <v>23</v>
      </c>
      <c r="K9" s="94"/>
      <c r="L9" s="94"/>
      <c r="M9" s="94"/>
      <c r="N9" s="94"/>
      <c r="O9" s="94"/>
      <c r="P9" s="94"/>
      <c r="Q9" s="94"/>
      <c r="R9" s="94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7.25" thickBot="1">
      <c r="A10" s="34"/>
      <c r="B10" s="53"/>
      <c r="C10" s="53"/>
      <c r="D10" s="53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95" t="s">
        <v>24</v>
      </c>
      <c r="C11" s="95"/>
      <c r="D11" s="95"/>
      <c r="E11" s="96" t="str">
        <f>"일금 "&amp;NUMBERSTRING(K18,1)&amp;" 원정"&amp;TEXT(K18,"(₩#,###)")</f>
        <v>일금 삼백오십만 원정(₩3,500,000)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7.25" thickBot="1">
      <c r="A12" s="30"/>
      <c r="B12" s="54"/>
      <c r="C12" s="54"/>
      <c r="D12" s="54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98" t="s">
        <v>25</v>
      </c>
      <c r="C13" s="99"/>
      <c r="D13" s="99"/>
      <c r="E13" s="100"/>
      <c r="F13" s="101" t="s">
        <v>26</v>
      </c>
      <c r="G13" s="100"/>
      <c r="H13" s="55" t="s">
        <v>27</v>
      </c>
      <c r="I13" s="102" t="s">
        <v>28</v>
      </c>
      <c r="J13" s="103"/>
      <c r="K13" s="104" t="s">
        <v>29</v>
      </c>
      <c r="L13" s="104"/>
      <c r="M13" s="104"/>
      <c r="N13" s="105"/>
      <c r="O13" s="104" t="s">
        <v>30</v>
      </c>
      <c r="P13" s="104"/>
      <c r="Q13" s="104"/>
      <c r="R13" s="104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117" t="str">
        <f>Sheet2!C3</f>
        <v>옥상 우레탄방수 3mm (제 2안)</v>
      </c>
      <c r="C14" s="118"/>
      <c r="D14" s="118"/>
      <c r="E14" s="119"/>
      <c r="F14" s="120" t="s">
        <v>31</v>
      </c>
      <c r="G14" s="113"/>
      <c r="H14" s="57">
        <v>1</v>
      </c>
      <c r="I14" s="121"/>
      <c r="J14" s="122"/>
      <c r="K14" s="123">
        <f>Sheet2!M21</f>
        <v>3509800</v>
      </c>
      <c r="L14" s="118"/>
      <c r="M14" s="118"/>
      <c r="N14" s="119"/>
      <c r="O14" s="124"/>
      <c r="P14" s="125"/>
      <c r="Q14" s="125"/>
      <c r="R14" s="126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106"/>
      <c r="C15" s="107"/>
      <c r="D15" s="107"/>
      <c r="E15" s="108"/>
      <c r="F15" s="109"/>
      <c r="G15" s="109"/>
      <c r="H15" s="58"/>
      <c r="I15" s="110"/>
      <c r="J15" s="109"/>
      <c r="K15" s="111"/>
      <c r="L15" s="112"/>
      <c r="M15" s="112"/>
      <c r="N15" s="113"/>
      <c r="O15" s="114"/>
      <c r="P15" s="115"/>
      <c r="Q15" s="115"/>
      <c r="R15" s="116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114"/>
      <c r="C16" s="115"/>
      <c r="D16" s="115"/>
      <c r="E16" s="116"/>
      <c r="F16" s="114"/>
      <c r="G16" s="116"/>
      <c r="H16" s="58"/>
      <c r="I16" s="114"/>
      <c r="J16" s="116"/>
      <c r="K16" s="111"/>
      <c r="L16" s="112"/>
      <c r="M16" s="112"/>
      <c r="N16" s="113"/>
      <c r="O16" s="114"/>
      <c r="P16" s="115"/>
      <c r="Q16" s="115"/>
      <c r="R16" s="116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114"/>
      <c r="C17" s="115"/>
      <c r="D17" s="115"/>
      <c r="E17" s="142"/>
      <c r="F17" s="109"/>
      <c r="G17" s="109"/>
      <c r="H17" s="58"/>
      <c r="I17" s="110"/>
      <c r="J17" s="109"/>
      <c r="K17" s="111"/>
      <c r="L17" s="112"/>
      <c r="M17" s="112"/>
      <c r="N17" s="113"/>
      <c r="O17" s="114"/>
      <c r="P17" s="115"/>
      <c r="Q17" s="115"/>
      <c r="R17" s="116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143" t="s">
        <v>32</v>
      </c>
      <c r="C18" s="144"/>
      <c r="D18" s="144"/>
      <c r="E18" s="145"/>
      <c r="F18" s="146"/>
      <c r="G18" s="147"/>
      <c r="H18" s="59"/>
      <c r="I18" s="143"/>
      <c r="J18" s="144"/>
      <c r="K18" s="148">
        <f>Sheet2!M22</f>
        <v>3500000</v>
      </c>
      <c r="L18" s="118"/>
      <c r="M18" s="118"/>
      <c r="N18" s="119"/>
      <c r="O18" s="143" t="s">
        <v>33</v>
      </c>
      <c r="P18" s="144"/>
      <c r="Q18" s="144"/>
      <c r="R18" s="144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127" t="s">
        <v>34</v>
      </c>
      <c r="C19" s="128"/>
      <c r="D19" s="133" t="s">
        <v>35</v>
      </c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5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129"/>
      <c r="C20" s="130"/>
      <c r="D20" s="136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8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129"/>
      <c r="C21" s="130"/>
      <c r="D21" s="136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8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131"/>
      <c r="C22" s="132"/>
      <c r="D22" s="139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1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77" t="s">
        <v>38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9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5" t="s">
        <v>25</v>
      </c>
      <c r="C5" s="67" t="s">
        <v>26</v>
      </c>
      <c r="D5" s="67" t="s">
        <v>39</v>
      </c>
      <c r="E5" s="67" t="s">
        <v>27</v>
      </c>
      <c r="F5" s="73" t="s">
        <v>40</v>
      </c>
      <c r="G5" s="74"/>
      <c r="H5" s="73" t="s">
        <v>41</v>
      </c>
      <c r="I5" s="74"/>
      <c r="J5" s="75" t="s">
        <v>42</v>
      </c>
      <c r="K5" s="76"/>
      <c r="L5" s="75" t="s">
        <v>43</v>
      </c>
      <c r="M5" s="76"/>
      <c r="N5" s="72" t="s">
        <v>30</v>
      </c>
      <c r="O5" s="1"/>
      <c r="P5" s="1"/>
      <c r="Q5" s="1"/>
      <c r="R5" s="1"/>
    </row>
    <row r="6" spans="1:18" ht="31.35" customHeight="1">
      <c r="A6" s="1"/>
      <c r="B6" s="66"/>
      <c r="C6" s="68"/>
      <c r="D6" s="68"/>
      <c r="E6" s="68"/>
      <c r="F6" s="69" t="s">
        <v>28</v>
      </c>
      <c r="G6" s="68" t="s">
        <v>29</v>
      </c>
      <c r="H6" s="69" t="s">
        <v>28</v>
      </c>
      <c r="I6" s="68" t="s">
        <v>29</v>
      </c>
      <c r="J6" s="69" t="s">
        <v>28</v>
      </c>
      <c r="K6" s="69" t="s">
        <v>29</v>
      </c>
      <c r="L6" s="70" t="s">
        <v>28</v>
      </c>
      <c r="M6" s="69" t="s">
        <v>29</v>
      </c>
      <c r="N6" s="71"/>
      <c r="O6" s="1"/>
      <c r="P6" s="1"/>
      <c r="Q6" s="1"/>
      <c r="R6" s="1"/>
    </row>
    <row r="7" spans="1:18" ht="30" customHeight="1">
      <c r="A7" s="1"/>
      <c r="B7" s="17" t="s">
        <v>44</v>
      </c>
      <c r="C7" s="6" t="s">
        <v>45</v>
      </c>
      <c r="D7" s="12" t="s">
        <v>46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2"/>
    </row>
    <row r="8" spans="1:18" ht="34.5">
      <c r="A8" s="1"/>
      <c r="B8" s="27" t="s">
        <v>47</v>
      </c>
      <c r="C8" s="28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:M9" si="0">SUM(K8+I8+G8)</f>
        <v>0</v>
      </c>
      <c r="N8" s="12"/>
    </row>
    <row r="9" spans="1:18" ht="37.9" customHeight="1">
      <c r="A9" s="1"/>
      <c r="B9" s="15" t="s">
        <v>49</v>
      </c>
      <c r="C9" s="149" t="s">
        <v>70</v>
      </c>
      <c r="D9" s="12" t="s">
        <v>46</v>
      </c>
      <c r="E9" s="3">
        <v>100</v>
      </c>
      <c r="F9" s="4">
        <v>1200</v>
      </c>
      <c r="G9" s="3">
        <f t="shared" ref="G9" si="1">E9*F9</f>
        <v>120000</v>
      </c>
      <c r="H9" s="4">
        <v>1400</v>
      </c>
      <c r="I9" s="3">
        <f t="shared" ref="I9" si="2">H9*E9</f>
        <v>140000</v>
      </c>
      <c r="J9" s="4"/>
      <c r="K9" s="4"/>
      <c r="L9" s="5">
        <f t="shared" ref="L9" si="3">J9+H9+F9</f>
        <v>2600</v>
      </c>
      <c r="M9" s="3">
        <f t="shared" si="0"/>
        <v>260000</v>
      </c>
      <c r="N9" s="12"/>
    </row>
    <row r="10" spans="1:18" ht="30" customHeight="1">
      <c r="A10" s="1"/>
      <c r="B10" s="15" t="s">
        <v>50</v>
      </c>
      <c r="C10" s="6" t="s">
        <v>51</v>
      </c>
      <c r="D10" s="12" t="s">
        <v>46</v>
      </c>
      <c r="E10" s="3">
        <v>100</v>
      </c>
      <c r="F10" s="4">
        <v>5000</v>
      </c>
      <c r="G10" s="3">
        <f t="shared" ref="G10:G11" si="4">E10*F10</f>
        <v>500000</v>
      </c>
      <c r="H10" s="4">
        <v>3000</v>
      </c>
      <c r="I10" s="3">
        <f t="shared" ref="I10:I11" si="5">H10*E10</f>
        <v>300000</v>
      </c>
      <c r="J10" s="4">
        <v>300</v>
      </c>
      <c r="K10" s="3">
        <f>J10*E10</f>
        <v>30000</v>
      </c>
      <c r="L10" s="5">
        <f t="shared" ref="L10:L13" si="6">J10+H10+F10</f>
        <v>8300</v>
      </c>
      <c r="M10" s="3">
        <f t="shared" ref="M10:M13" si="7">SUM(K10+I10+G10)</f>
        <v>830000</v>
      </c>
      <c r="N10" s="12"/>
    </row>
    <row r="11" spans="1:18" ht="30" customHeight="1">
      <c r="A11" s="1"/>
      <c r="B11" s="16" t="s">
        <v>52</v>
      </c>
      <c r="C11" s="6" t="s">
        <v>53</v>
      </c>
      <c r="D11" s="12" t="s">
        <v>46</v>
      </c>
      <c r="E11" s="3">
        <v>100</v>
      </c>
      <c r="F11" s="4">
        <v>10000</v>
      </c>
      <c r="G11" s="3">
        <f t="shared" si="4"/>
        <v>1000000</v>
      </c>
      <c r="H11" s="4">
        <v>4700</v>
      </c>
      <c r="I11" s="3">
        <f t="shared" si="5"/>
        <v>470000</v>
      </c>
      <c r="J11" s="4">
        <v>400</v>
      </c>
      <c r="K11" s="3">
        <f>J11*E11</f>
        <v>40000</v>
      </c>
      <c r="L11" s="5">
        <f t="shared" si="6"/>
        <v>15100</v>
      </c>
      <c r="M11" s="3">
        <f t="shared" si="7"/>
        <v>1510000</v>
      </c>
      <c r="N11" s="12"/>
    </row>
    <row r="12" spans="1:18" ht="30" customHeight="1">
      <c r="A12" s="1"/>
      <c r="B12" s="16" t="s">
        <v>54</v>
      </c>
      <c r="C12" s="6" t="s">
        <v>55</v>
      </c>
      <c r="D12" s="12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6"/>
        <v>9800</v>
      </c>
      <c r="M12" s="3">
        <f t="shared" si="7"/>
        <v>0</v>
      </c>
      <c r="N12" s="12"/>
    </row>
    <row r="13" spans="1:18" ht="30" customHeight="1">
      <c r="B13" s="16" t="s">
        <v>56</v>
      </c>
      <c r="C13" s="6" t="s">
        <v>57</v>
      </c>
      <c r="D13" s="12" t="s">
        <v>46</v>
      </c>
      <c r="E13" s="3">
        <v>100</v>
      </c>
      <c r="F13" s="4">
        <v>2200</v>
      </c>
      <c r="G13" s="3">
        <f t="shared" ref="G13" si="8">E13*F13</f>
        <v>220000</v>
      </c>
      <c r="H13" s="4">
        <v>1800</v>
      </c>
      <c r="I13" s="3">
        <f t="shared" ref="I13" si="9">H13*E13</f>
        <v>180000</v>
      </c>
      <c r="J13" s="4"/>
      <c r="K13" s="4"/>
      <c r="L13" s="5">
        <f t="shared" si="6"/>
        <v>4000</v>
      </c>
      <c r="M13" s="3">
        <f t="shared" si="7"/>
        <v>400000</v>
      </c>
      <c r="N13" s="12"/>
    </row>
    <row r="14" spans="1:18" ht="30" customHeight="1">
      <c r="B14" s="16" t="s">
        <v>58</v>
      </c>
      <c r="C14" s="6"/>
      <c r="D14" s="12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ref="M14:M16" si="10">SUM(K14+I14+G14)</f>
        <v>120000</v>
      </c>
      <c r="N14" s="12"/>
    </row>
    <row r="15" spans="1:18" ht="30" customHeight="1">
      <c r="B15" s="16" t="s">
        <v>60</v>
      </c>
      <c r="C15" s="6"/>
      <c r="D15" s="12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10"/>
        <v>0</v>
      </c>
      <c r="N15" s="12"/>
    </row>
    <row r="16" spans="1:18" ht="30" customHeight="1">
      <c r="B16" s="16" t="s">
        <v>62</v>
      </c>
      <c r="C16" s="6"/>
      <c r="D16" s="12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10"/>
        <v>0</v>
      </c>
      <c r="N16" s="12"/>
    </row>
    <row r="17" spans="2:14" ht="30" customHeight="1">
      <c r="B17" s="16"/>
      <c r="C17" s="6"/>
      <c r="D17" s="12"/>
      <c r="E17" s="3"/>
      <c r="F17" s="3"/>
      <c r="G17" s="3"/>
      <c r="H17" s="3"/>
      <c r="I17" s="3"/>
      <c r="J17" s="3"/>
      <c r="K17" s="3"/>
      <c r="L17" s="5"/>
      <c r="M17" s="3"/>
      <c r="N17" s="12"/>
    </row>
    <row r="18" spans="2:14" ht="30" customHeight="1">
      <c r="B18" s="18" t="s">
        <v>63</v>
      </c>
      <c r="C18" s="8"/>
      <c r="D18" s="9"/>
      <c r="E18" s="2"/>
      <c r="F18" s="2"/>
      <c r="G18" s="10">
        <f>SUM(G7:G17)</f>
        <v>1870000</v>
      </c>
      <c r="H18" s="19"/>
      <c r="I18" s="10">
        <f>SUM(I7:I17)</f>
        <v>1160000</v>
      </c>
      <c r="J18" s="2"/>
      <c r="K18" s="10">
        <f>SUM(K7:K17)</f>
        <v>190000</v>
      </c>
      <c r="L18" s="2"/>
      <c r="M18" s="2">
        <f>SUM(M7:M17)</f>
        <v>3220000</v>
      </c>
      <c r="N18" s="11"/>
    </row>
    <row r="19" spans="2:14" ht="32.450000000000003" customHeight="1">
      <c r="B19" s="20" t="s">
        <v>64</v>
      </c>
      <c r="C19" s="6"/>
      <c r="D19" s="12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96600</v>
      </c>
      <c r="N19" s="12"/>
    </row>
    <row r="20" spans="2:14" ht="30" customHeight="1">
      <c r="B20" s="21" t="s">
        <v>66</v>
      </c>
      <c r="C20" s="6"/>
      <c r="D20" s="12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193200</v>
      </c>
      <c r="N20" s="12"/>
    </row>
    <row r="21" spans="2:14" ht="30" customHeight="1">
      <c r="B21" s="22" t="s">
        <v>67</v>
      </c>
      <c r="C21" s="23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3509800</v>
      </c>
      <c r="N21" s="11"/>
    </row>
    <row r="22" spans="2:14" ht="30" customHeight="1">
      <c r="B22" s="24" t="s">
        <v>68</v>
      </c>
      <c r="C22" s="25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3500000</v>
      </c>
      <c r="N22" s="26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2026-03-16T06:07:26Z</dcterms:modified>
  <cp:category/>
  <cp:contentStatus/>
</cp:coreProperties>
</file>