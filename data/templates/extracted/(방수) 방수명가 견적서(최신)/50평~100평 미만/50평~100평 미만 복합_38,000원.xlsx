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32" documentId="8_{ECFAE429-865F-4EBF-A5E3-AFA18FDA235E}" xr6:coauthVersionLast="47" xr6:coauthVersionMax="47" xr10:uidLastSave="{DE4C7EE5-E74B-41A4-8301-1BED651E4FA8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5" l="1"/>
  <c r="E11" i="5" s="1"/>
  <c r="K14" i="5"/>
  <c r="B14" i="5"/>
  <c r="L10" i="3"/>
  <c r="K10" i="3"/>
  <c r="I10" i="3"/>
  <c r="G10" i="3"/>
  <c r="L14" i="3"/>
  <c r="I14" i="3"/>
  <c r="G14" i="3"/>
  <c r="M14" i="3" l="1"/>
  <c r="M10" i="3"/>
  <c r="L8" i="3"/>
  <c r="M17" i="3"/>
  <c r="L17" i="3"/>
  <c r="M16" i="3"/>
  <c r="L16" i="3"/>
  <c r="M8" i="3"/>
  <c r="L15" i="3"/>
  <c r="M15" i="3"/>
  <c r="K13" i="3"/>
  <c r="L13" i="3"/>
  <c r="I13" i="3"/>
  <c r="G13" i="3"/>
  <c r="M13" i="3" l="1"/>
  <c r="L12" i="3" l="1"/>
  <c r="K12" i="3"/>
  <c r="I12" i="3"/>
  <c r="G12" i="3"/>
  <c r="L11" i="3"/>
  <c r="I11" i="3"/>
  <c r="G11" i="3"/>
  <c r="L9" i="3"/>
  <c r="I9" i="3"/>
  <c r="G9" i="3"/>
  <c r="L7" i="3"/>
  <c r="I7" i="3"/>
  <c r="G7" i="3"/>
  <c r="M7" i="3" l="1"/>
  <c r="K18" i="3"/>
  <c r="G18" i="3"/>
  <c r="M9" i="3"/>
  <c r="M11" i="3"/>
  <c r="M12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<sst xmlns="http://schemas.openxmlformats.org/spreadsheetml/2006/main" count="90" uniqueCount="70">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</sst>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5" fillId="0" borderId="0"/>
  </cellStyleXfs>
  <cellXfs count="150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AE7D8FA7-8B9B-4117-B9D3-D86713660FE8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B1734A09-0DE9-44F7-974D-12A2FC2D4B67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A2CF80FD-9774-492E-AF6E-7D99C5541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C4F8CFEF-A6AD-4F78-88DE-38C07E0E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7D5B-F407-461E-B778-099AE0AC4C84}">
  <sheetPr>
    <pageSetUpPr fitToPage="1"/>
  </sheetPr>
  <dimension ref="A1:AO59"/>
  <sheetViews>
    <sheetView zoomScale="85" zoomScaleNormal="85" zoomScalePageLayoutView="57" workbookViewId="0">
      <selection activeCell="D5" sqref="D5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66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67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사백이십만 원정(₩4,200,000)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1" t="str">
        <f>Sheet2!C3</f>
        <v>옥상 이중복합방수 3.8mm (제 1안)</v>
      </c>
      <c r="C14" s="29"/>
      <c r="D14" s="29"/>
      <c r="E14" s="30"/>
      <c r="F14" s="90" t="s">
        <v>28</v>
      </c>
      <c r="G14" s="91"/>
      <c r="H14" s="92">
        <v>1</v>
      </c>
      <c r="I14" s="93"/>
      <c r="J14" s="94"/>
      <c r="K14" s="32">
        <f>Sheet2!M21</f>
        <v>4272800</v>
      </c>
      <c r="L14" s="29"/>
      <c r="M14" s="29"/>
      <c r="N14" s="30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33">
        <f>Sheet2!M22</f>
        <v>4200000</v>
      </c>
      <c r="L18" s="29"/>
      <c r="M18" s="29"/>
      <c r="N18" s="30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5" sqref="B5:N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68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2" t="s">
        <v>31</v>
      </c>
      <c r="G5" s="143"/>
      <c r="H5" s="142" t="s">
        <v>32</v>
      </c>
      <c r="I5" s="143"/>
      <c r="J5" s="145" t="s">
        <v>33</v>
      </c>
      <c r="K5" s="146"/>
      <c r="L5" s="145" t="s">
        <v>37</v>
      </c>
      <c r="M5" s="146"/>
      <c r="N5" s="149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40" t="s">
        <v>26</v>
      </c>
      <c r="H6" s="141" t="s">
        <v>25</v>
      </c>
      <c r="I6" s="141" t="s">
        <v>26</v>
      </c>
      <c r="J6" s="144" t="s">
        <v>25</v>
      </c>
      <c r="K6" s="144" t="s">
        <v>26</v>
      </c>
      <c r="L6" s="147" t="s">
        <v>25</v>
      </c>
      <c r="M6" s="144" t="s">
        <v>26</v>
      </c>
      <c r="N6" s="148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2" si="0">E9*F9</f>
        <v>70000</v>
      </c>
      <c r="H9" s="4">
        <v>1300</v>
      </c>
      <c r="I9" s="3">
        <f t="shared" ref="I9:I12" si="1">H9*E9</f>
        <v>130000</v>
      </c>
      <c r="J9" s="4"/>
      <c r="K9" s="4"/>
      <c r="L9" s="5">
        <f t="shared" ref="L9:L12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9000</v>
      </c>
      <c r="G10" s="3">
        <f t="shared" si="0"/>
        <v>900000</v>
      </c>
      <c r="H10" s="4">
        <v>6000</v>
      </c>
      <c r="I10" s="3">
        <f t="shared" si="1"/>
        <v>600000</v>
      </c>
      <c r="J10" s="4">
        <v>500</v>
      </c>
      <c r="K10" s="3">
        <f>J10*E10</f>
        <v>50000</v>
      </c>
      <c r="L10" s="5">
        <f t="shared" si="2"/>
        <v>15500</v>
      </c>
      <c r="M10" s="3">
        <f t="shared" si="3"/>
        <v>1550000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1300</v>
      </c>
      <c r="G11" s="3">
        <f t="shared" si="0"/>
        <v>130000</v>
      </c>
      <c r="H11" s="4">
        <v>1700</v>
      </c>
      <c r="I11" s="3">
        <f t="shared" si="1"/>
        <v>170000</v>
      </c>
      <c r="J11" s="4"/>
      <c r="K11" s="4"/>
      <c r="L11" s="5">
        <f t="shared" si="2"/>
        <v>3000</v>
      </c>
      <c r="M11" s="3">
        <f t="shared" si="3"/>
        <v>300000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7500</v>
      </c>
      <c r="G12" s="3">
        <f t="shared" si="0"/>
        <v>750000</v>
      </c>
      <c r="H12" s="4">
        <v>4500</v>
      </c>
      <c r="I12" s="3">
        <f t="shared" si="1"/>
        <v>450000</v>
      </c>
      <c r="J12" s="4">
        <v>500</v>
      </c>
      <c r="K12" s="3">
        <f>J12*E12</f>
        <v>50000</v>
      </c>
      <c r="L12" s="5">
        <f t="shared" si="2"/>
        <v>12500</v>
      </c>
      <c r="M12" s="3">
        <f t="shared" si="3"/>
        <v>1250000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5000</v>
      </c>
      <c r="G13" s="3">
        <f t="shared" ref="G13:G14" si="4">E13*F13</f>
        <v>0</v>
      </c>
      <c r="H13" s="4">
        <v>4300</v>
      </c>
      <c r="I13" s="3">
        <f t="shared" ref="I13:I14" si="5">H13*E13</f>
        <v>0</v>
      </c>
      <c r="J13" s="4">
        <v>500</v>
      </c>
      <c r="K13" s="3">
        <f>J13*E13</f>
        <v>0</v>
      </c>
      <c r="L13" s="5">
        <f t="shared" ref="L13:L14" si="6">J13+H13+F13</f>
        <v>9800</v>
      </c>
      <c r="M13" s="3">
        <f t="shared" ref="M13:M14" si="7"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2200</v>
      </c>
      <c r="G14" s="3">
        <f t="shared" si="4"/>
        <v>220000</v>
      </c>
      <c r="H14" s="4">
        <v>1800</v>
      </c>
      <c r="I14" s="3">
        <f t="shared" si="5"/>
        <v>180000</v>
      </c>
      <c r="J14" s="4"/>
      <c r="K14" s="4"/>
      <c r="L14" s="5">
        <f t="shared" si="6"/>
        <v>4000</v>
      </c>
      <c r="M14" s="3">
        <f t="shared" si="7"/>
        <v>400000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2100000</v>
      </c>
      <c r="H18" s="20"/>
      <c r="I18" s="9">
        <f>SUM(I7:I17)</f>
        <v>1600000</v>
      </c>
      <c r="J18" s="2"/>
      <c r="K18" s="9">
        <f>SUM(K7:K17)</f>
        <v>220000</v>
      </c>
      <c r="L18" s="2"/>
      <c r="M18" s="2">
        <f>SUM(M7:M17)</f>
        <v>3920000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117600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235200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4272800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4200000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2026-03-09T04:26:42Z</cp:lastPrinted>
  <dcterms:created xsi:type="dcterms:W3CDTF">2025-04-06T12:41:57Z</dcterms:created>
  <dcterms:modified xsi:type="dcterms:W3CDTF">2026-03-09T04:27:02Z</dcterms:modified>
  <cp:category/>
  <cp:contentStatus/>
</cp:coreProperties>
</file>