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\Desktop\"/>
    </mc:Choice>
  </mc:AlternateContent>
  <xr:revisionPtr revIDLastSave="0" documentId="13_ncr:1_{6B7C02CF-5DA7-4DF7-85D4-6E0A72039DF4}" xr6:coauthVersionLast="47" xr6:coauthVersionMax="47" xr10:uidLastSave="{00000000-0000-0000-0000-000000000000}"/>
  <bookViews>
    <workbookView xWindow="8130" yWindow="2565" windowWidth="21600" windowHeight="11295" firstSheet="1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K14" i="5"/>
  <c r="E11" i="5"/>
  <c r="K12" i="3"/>
  <c r="L16" i="3"/>
  <c r="L15" i="3"/>
  <c r="L14" i="3"/>
  <c r="L8" i="3"/>
  <c r="M16" i="3" l="1"/>
  <c r="M15" i="3"/>
  <c r="M14" i="3"/>
  <c r="M8" i="3"/>
  <c r="M12" i="3" l="1"/>
  <c r="L12" i="3"/>
  <c r="L13" i="3"/>
  <c r="I13" i="3"/>
  <c r="G13" i="3"/>
  <c r="G9" i="3"/>
  <c r="I9" i="3"/>
  <c r="M9" i="3" s="1"/>
  <c r="L9" i="3"/>
  <c r="L7" i="3"/>
  <c r="I7" i="3"/>
  <c r="G7" i="3"/>
  <c r="M13" i="3" l="1"/>
  <c r="M7" i="3"/>
  <c r="L11" i="3"/>
  <c r="K11" i="3"/>
  <c r="I11" i="3"/>
  <c r="G11" i="3"/>
  <c r="L10" i="3"/>
  <c r="K10" i="3"/>
  <c r="I10" i="3"/>
  <c r="G10" i="3"/>
  <c r="M11" i="3" l="1"/>
  <c r="M10" i="3"/>
  <c r="G18" i="3"/>
  <c r="I18" i="3"/>
  <c r="M18" i="3"/>
  <c r="K18" i="3"/>
  <c r="M20" i="3" l="1"/>
  <c r="M19" i="3"/>
  <c r="M21" i="3" s="1"/>
  <c r="M22" i="3" l="1"/>
</calcChain>
</file>

<file path=xl/sharedStrings.xml><?xml version="1.0" encoding="utf-8"?>
<sst xmlns="http://schemas.openxmlformats.org/spreadsheetml/2006/main" count="90" uniqueCount="71">
  <si>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</si>
  <si>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</si>
  <si>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</si>
  <si>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</si>
  <si>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</si>
  <si>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</si>
  <si>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</si>
  <si>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</si>
  <si>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</si>
  <si>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</si>
  <si>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</si>
  <si>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</si>
  <si>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</si>
  <si>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</si>
  <si>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</si>
  <si>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</si>
  <si>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t xml:space="preserve">  전화번호</t>
  </si>
  <si>
    <t>010.5379.3587</t>
    <phoneticPr fontId="5" type="noConversion"/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</si>
  <si>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</si>
  <si>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</si>
  <si>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</si>
  <si>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</si>
  <si>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</si>
  <si>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</si>
  <si>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</si>
  <si>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</si>
  <si>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</si>
  <si>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</si>
  <si>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</si>
  <si>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</si>
  <si>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</si>
  <si>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</si>
  <si>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</si>
  <si>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</si>
  <si>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</si>
  <si>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3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)
</t>
    </r>
    <r>
      <rPr>
        <sz val="12"/>
        <color rgb="FF000000"/>
        <rFont val="Arial"/>
        <family val="2"/>
      </rPr>
      <t xml:space="preserve">  2. </t>
    </r>
    <r>
      <rPr>
        <sz val="12"/>
        <color rgb="FF000000"/>
        <rFont val="맑은 고딕"/>
        <family val="3"/>
        <charset val="129"/>
      </rPr>
      <t>견적서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>제출</t>
    </r>
    <r>
      <rPr>
        <sz val="12"/>
        <color rgb="FF000000"/>
        <rFont val="Arial"/>
        <family val="2"/>
      </rPr>
      <t xml:space="preserve"> 30</t>
    </r>
    <r>
      <rPr>
        <sz val="12"/>
        <color rgb="FF000000"/>
        <rFont val="맑은 고딕"/>
        <family val="3"/>
        <charset val="129"/>
      </rPr>
      <t>일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맑은 고딕"/>
        <family val="3"/>
        <charset val="129"/>
      </rPr>
      <t xml:space="preserve">유효
</t>
    </r>
    <r>
      <rPr>
        <sz val="12"/>
        <color rgb="FF000000"/>
        <rFont val="Arial"/>
        <family val="2"/>
      </rPr>
      <t xml:space="preserve">       * </t>
    </r>
    <r>
      <rPr>
        <sz val="12"/>
        <color rgb="FF000000"/>
        <rFont val="맑은 고딕"/>
        <family val="3"/>
        <charset val="129"/>
      </rPr>
      <t>부가가치세별도</t>
    </r>
  </si>
  <si>
    <t>Brand Collaborations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</si>
  <si>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</si>
  <si>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우레탄방수</t>
    </r>
    <r>
      <rPr>
        <sz val="12"/>
        <color theme="1"/>
        <rFont val="Arial"/>
        <family val="2"/>
      </rPr>
      <t xml:space="preserve"> 3mm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</t>
    </r>
    <r>
      <rPr>
        <sz val="12"/>
        <color theme="1"/>
        <rFont val="Arial"/>
        <family val="2"/>
        <charset val="129"/>
      </rPr>
      <t xml:space="preserve"> 2</t>
    </r>
    <r>
      <rPr>
        <sz val="12"/>
        <color theme="1"/>
        <rFont val="맑은 고딕"/>
        <family val="2"/>
        <charset val="129"/>
      </rPr>
      <t>안</t>
    </r>
    <r>
      <rPr>
        <sz val="12"/>
        <color theme="1"/>
        <rFont val="Arial"/>
        <family val="2"/>
        <charset val="129"/>
      </rPr>
      <t>)</t>
    </r>
    <phoneticPr fontId="5" type="noConversion"/>
  </si>
  <si>
    <t>단 위</t>
  </si>
  <si>
    <t>재 료 비</t>
  </si>
  <si>
    <t>인 건 비</t>
  </si>
  <si>
    <t>경 비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</si>
  <si>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</si>
  <si>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</si>
  <si>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맑은 고딕"/>
        <family val="2"/>
        <charset val="129"/>
      </rPr>
      <t>그라인더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연삭</t>
    </r>
    <phoneticPr fontId="5" type="noConversion"/>
  </si>
  <si>
    <t>m²</t>
  </si>
  <si>
    <t>바탕조정제
부분미장</t>
    <phoneticPr fontId="5" type="noConversion"/>
  </si>
  <si>
    <t>식</t>
    <phoneticPr fontId="5" type="noConversion"/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</si>
  <si>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</si>
  <si>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1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</si>
  <si>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1mm</t>
    </r>
    <phoneticPr fontId="5" type="noConversion"/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</si>
  <si>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2</t>
    </r>
    <r>
      <rPr>
        <sz val="12"/>
        <color theme="1"/>
        <rFont val="Malgun Gothic"/>
        <family val="3"/>
        <charset val="129"/>
      </rPr>
      <t>차</t>
    </r>
  </si>
  <si>
    <r>
      <rPr>
        <sz val="12"/>
        <color theme="1"/>
        <rFont val="맑은 고딕"/>
        <family val="2"/>
        <charset val="129"/>
      </rPr>
      <t>중도</t>
    </r>
    <r>
      <rPr>
        <sz val="12"/>
        <color theme="1"/>
        <rFont val="Arial"/>
        <family val="2"/>
      </rPr>
      <t xml:space="preserve"> 2mm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</si>
  <si>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</si>
  <si>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</si>
  <si>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</si>
  <si>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</si>
  <si>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</si>
  <si>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</si>
  <si>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</si>
  <si>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</si>
  <si>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</si>
  <si>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</si>
  <si>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</si>
  <si>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t>%</t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</si>
  <si>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</si>
  <si>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</si>
  <si>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</si>
  <si>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</si>
  <si>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맑은 고딕"/>
        <family val="3"/>
        <charset val="129"/>
      </rPr>
      <t>줄눈</t>
    </r>
    <r>
      <rPr>
        <sz val="12"/>
        <color theme="1"/>
        <rFont val="Arial"/>
        <family val="2"/>
      </rPr>
      <t xml:space="preserve">. </t>
    </r>
    <r>
      <rPr>
        <sz val="12"/>
        <color theme="1"/>
        <rFont val="맑은 고딕"/>
        <family val="3"/>
        <charset val="129"/>
      </rPr>
      <t>크랙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맑은 고딕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부착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</si>
</sst>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8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sz val="12"/>
      <color theme="1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b/>
      <sz val="12"/>
      <color theme="1"/>
      <name val="맑은 고딕"/>
      <family val="3"/>
      <charset val="129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  <font>
      <b/>
      <sz val="12"/>
      <color rgb="FFFF0000"/>
      <name val="Arial"/>
      <family val="2"/>
    </font>
    <font>
      <b/>
      <sz val="12"/>
      <color rgb="FFFF0000"/>
      <name val="맑은 고딕"/>
      <family val="3"/>
      <charset val="129"/>
    </font>
    <font>
      <sz val="12"/>
      <color rgb="FF000000"/>
      <name val="Arial"/>
      <family val="2"/>
    </font>
    <font>
      <sz val="12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theme="1" tint="0.14999847407452621"/>
        <bgColor indexed="64"/>
      </patternFill>
    </fill>
  </fills>
  <borders count="62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</borders>
  <cellStyleXfs count="2">
    <xf numFmtId="0" fontId="0" fillId="0" borderId="0"/>
    <xf numFmtId="0" fontId="23" fillId="0" borderId="0"/>
  </cellStyleXfs>
  <cellXfs count="151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177" fontId="6" fillId="7" borderId="15" xfId="0" applyNumberFormat="1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0" borderId="0" xfId="1" applyFont="1"/>
    <xf numFmtId="0" fontId="23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5" fillId="8" borderId="33" xfId="1" applyFont="1" applyFill="1" applyBorder="1" applyAlignment="1">
      <alignment vertical="center"/>
    </xf>
    <xf numFmtId="0" fontId="15" fillId="2" borderId="1" xfId="1" applyFont="1" applyFill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8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7" fillId="8" borderId="39" xfId="1" applyFont="1" applyFill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7" fillId="2" borderId="0" xfId="1" applyFont="1" applyFill="1" applyAlignment="1">
      <alignment vertical="center"/>
    </xf>
    <xf numFmtId="0" fontId="6" fillId="0" borderId="6" xfId="1" applyFont="1" applyBorder="1"/>
    <xf numFmtId="0" fontId="7" fillId="8" borderId="44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1" xfId="1" applyFont="1" applyBorder="1"/>
    <xf numFmtId="0" fontId="6" fillId="4" borderId="8" xfId="1" applyFont="1" applyFill="1" applyBorder="1" applyAlignment="1">
      <alignment vertical="center"/>
    </xf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3" fillId="2" borderId="0" xfId="1" applyFill="1"/>
    <xf numFmtId="0" fontId="20" fillId="8" borderId="1" xfId="0" applyFont="1" applyFill="1" applyBorder="1" applyAlignment="1">
      <alignment horizontal="center" vertical="center"/>
    </xf>
    <xf numFmtId="0" fontId="7" fillId="8" borderId="51" xfId="0" applyFont="1" applyFill="1" applyBorder="1" applyAlignment="1">
      <alignment horizontal="center" vertical="center"/>
    </xf>
    <xf numFmtId="0" fontId="7" fillId="8" borderId="52" xfId="0" applyFont="1" applyFill="1" applyBorder="1" applyAlignment="1">
      <alignment horizontal="center" vertical="center"/>
    </xf>
    <xf numFmtId="0" fontId="7" fillId="8" borderId="53" xfId="0" applyFont="1" applyFill="1" applyBorder="1" applyAlignment="1">
      <alignment horizontal="center" vertical="center"/>
    </xf>
    <xf numFmtId="0" fontId="7" fillId="8" borderId="54" xfId="0" applyFont="1" applyFill="1" applyBorder="1" applyAlignment="1">
      <alignment horizontal="center" vertical="center"/>
    </xf>
    <xf numFmtId="0" fontId="7" fillId="8" borderId="55" xfId="0" applyFont="1" applyFill="1" applyBorder="1" applyAlignment="1">
      <alignment horizontal="center" vertical="center"/>
    </xf>
    <xf numFmtId="0" fontId="7" fillId="8" borderId="59" xfId="0" applyFont="1" applyFill="1" applyBorder="1" applyAlignment="1">
      <alignment horizontal="center" vertical="center"/>
    </xf>
    <xf numFmtId="0" fontId="7" fillId="8" borderId="58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56" xfId="0" applyFont="1" applyFill="1" applyBorder="1" applyAlignment="1">
      <alignment horizontal="center" vertical="center"/>
    </xf>
    <xf numFmtId="0" fontId="7" fillId="8" borderId="57" xfId="0" applyFont="1" applyFill="1" applyBorder="1" applyAlignment="1">
      <alignment horizontal="center" vertical="center"/>
    </xf>
    <xf numFmtId="0" fontId="7" fillId="8" borderId="60" xfId="0" applyFont="1" applyFill="1" applyBorder="1" applyAlignment="1">
      <alignment horizontal="center" vertical="center"/>
    </xf>
    <xf numFmtId="0" fontId="7" fillId="8" borderId="61" xfId="0" applyFont="1" applyFill="1" applyBorder="1" applyAlignment="1">
      <alignment horizontal="center" vertical="center"/>
    </xf>
    <xf numFmtId="0" fontId="21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6" xfId="1" applyFont="1" applyBorder="1" applyAlignment="1">
      <alignment vertical="center"/>
    </xf>
    <xf numFmtId="0" fontId="3" fillId="0" borderId="0" xfId="1" applyFont="1" applyAlignment="1">
      <alignment horizontal="center" wrapText="1"/>
    </xf>
    <xf numFmtId="0" fontId="6" fillId="0" borderId="1" xfId="1" applyFont="1" applyBorder="1" applyAlignment="1">
      <alignment horizontal="left" vertical="center"/>
    </xf>
    <xf numFmtId="0" fontId="6" fillId="0" borderId="19" xfId="1" applyFont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6" fillId="0" borderId="37" xfId="1" applyFont="1" applyBorder="1"/>
    <xf numFmtId="0" fontId="16" fillId="0" borderId="38" xfId="1" applyFont="1" applyBorder="1"/>
    <xf numFmtId="0" fontId="16" fillId="0" borderId="3" xfId="1" applyFont="1" applyBorder="1"/>
    <xf numFmtId="0" fontId="6" fillId="0" borderId="13" xfId="1" applyFont="1" applyBorder="1" applyAlignment="1">
      <alignment vertical="center"/>
    </xf>
    <xf numFmtId="0" fontId="19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8" borderId="4" xfId="1" applyFont="1" applyFill="1" applyBorder="1" applyAlignment="1">
      <alignment horizontal="center" vertical="center" wrapText="1"/>
    </xf>
    <xf numFmtId="176" fontId="18" fillId="0" borderId="1" xfId="1" applyNumberFormat="1" applyFont="1" applyBorder="1" applyAlignment="1">
      <alignment horizontal="center" vertical="center" wrapText="1"/>
    </xf>
    <xf numFmtId="0" fontId="6" fillId="0" borderId="7" xfId="1" applyFont="1" applyBorder="1"/>
    <xf numFmtId="0" fontId="7" fillId="8" borderId="40" xfId="1" applyFont="1" applyFill="1" applyBorder="1" applyAlignment="1">
      <alignment horizontal="center" vertical="center"/>
    </xf>
    <xf numFmtId="0" fontId="7" fillId="8" borderId="41" xfId="1" applyFont="1" applyFill="1" applyBorder="1" applyAlignment="1">
      <alignment horizontal="center" vertical="center"/>
    </xf>
    <xf numFmtId="0" fontId="7" fillId="8" borderId="42" xfId="1" applyFont="1" applyFill="1" applyBorder="1" applyAlignment="1">
      <alignment horizontal="center" vertical="center"/>
    </xf>
    <xf numFmtId="0" fontId="7" fillId="8" borderId="43" xfId="1" applyFont="1" applyFill="1" applyBorder="1" applyAlignment="1">
      <alignment horizontal="center" vertical="center"/>
    </xf>
    <xf numFmtId="0" fontId="7" fillId="8" borderId="45" xfId="1" applyFont="1" applyFill="1" applyBorder="1" applyAlignment="1">
      <alignment horizontal="center" vertical="center"/>
    </xf>
    <xf numFmtId="0" fontId="7" fillId="8" borderId="46" xfId="1" applyFont="1" applyFill="1" applyBorder="1" applyAlignment="1">
      <alignment horizontal="center" vertical="center"/>
    </xf>
    <xf numFmtId="0" fontId="7" fillId="8" borderId="1" xfId="1" applyFont="1" applyFill="1" applyBorder="1" applyAlignment="1">
      <alignment horizontal="center" vertical="center"/>
    </xf>
    <xf numFmtId="0" fontId="7" fillId="8" borderId="5" xfId="1" applyFont="1" applyFill="1" applyBorder="1" applyAlignment="1">
      <alignment horizontal="center" vertic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6" fillId="0" borderId="23" xfId="1" applyFont="1" applyBorder="1"/>
    <xf numFmtId="0" fontId="16" fillId="0" borderId="24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19" fillId="0" borderId="16" xfId="0" applyFont="1" applyBorder="1" applyAlignment="1">
      <alignment horizontal="center" vertical="center"/>
    </xf>
    <xf numFmtId="0" fontId="16" fillId="0" borderId="23" xfId="0" applyFont="1" applyBorder="1"/>
    <xf numFmtId="0" fontId="16" fillId="0" borderId="24" xfId="0" applyFont="1" applyBorder="1"/>
    <xf numFmtId="0" fontId="6" fillId="0" borderId="16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6" fillId="0" borderId="26" xfId="1" applyFont="1" applyBorder="1"/>
    <xf numFmtId="0" fontId="16" fillId="0" borderId="27" xfId="1" applyFont="1" applyBorder="1"/>
    <xf numFmtId="0" fontId="16" fillId="0" borderId="20" xfId="1" applyFont="1" applyBorder="1"/>
    <xf numFmtId="0" fontId="6" fillId="0" borderId="0" xfId="1" applyFont="1"/>
    <xf numFmtId="0" fontId="16" fillId="0" borderId="28" xfId="1" applyFont="1" applyBorder="1"/>
    <xf numFmtId="0" fontId="16" fillId="0" borderId="29" xfId="1" applyFont="1" applyBorder="1"/>
    <xf numFmtId="0" fontId="16" fillId="0" borderId="30" xfId="1" applyFont="1" applyBorder="1"/>
    <xf numFmtId="0" fontId="16" fillId="0" borderId="15" xfId="1" applyFont="1" applyBorder="1"/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</cellXfs>
  <cellStyles count="2">
    <cellStyle name="표준" xfId="0" builtinId="0"/>
    <cellStyle name="표준 2" xfId="1" xr:uid="{C048F15A-C7AC-4E4A-8DE9-9C42144381A1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74EF3929-852B-40FD-9CAB-D323C7CC9D7D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A86E70EA-0BDB-4863-830E-23400C386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83276</xdr:colOff>
      <xdr:row>0</xdr:row>
      <xdr:rowOff>207917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48FABFF8-5743-4B8B-ADF6-E3F1D89BF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" y="20791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2B75-C9A1-4AE7-B577-EEAFA7239625}">
  <sheetPr>
    <pageSetUpPr fitToPage="1"/>
  </sheetPr>
  <dimension ref="A1:AO59"/>
  <sheetViews>
    <sheetView topLeftCell="A14" zoomScale="85" zoomScaleNormal="85" zoomScalePageLayoutView="57" workbookViewId="0">
      <selection activeCell="B18" sqref="B18:E18"/>
    </sheetView>
  </sheetViews>
  <sheetFormatPr defaultColWidth="9.125" defaultRowHeight="16.5"/>
  <cols>
    <col min="1" max="1" width="9.125" style="31"/>
    <col min="2" max="2" width="11.25" style="31" bestFit="1" customWidth="1"/>
    <col min="3" max="3" width="1" style="31" customWidth="1"/>
    <col min="4" max="4" width="4.125" style="31" customWidth="1"/>
    <col min="5" max="5" width="35.75" style="31" customWidth="1"/>
    <col min="6" max="6" width="3" style="31" hidden="1" customWidth="1"/>
    <col min="7" max="7" width="6.875" style="31" customWidth="1"/>
    <col min="8" max="8" width="14.25" style="31" bestFit="1" customWidth="1"/>
    <col min="9" max="9" width="1" style="31" customWidth="1"/>
    <col min="10" max="10" width="16.125" style="31" customWidth="1"/>
    <col min="11" max="11" width="0.125" style="31" customWidth="1"/>
    <col min="12" max="12" width="13.125" style="31" customWidth="1"/>
    <col min="13" max="13" width="1" style="63" customWidth="1"/>
    <col min="14" max="14" width="25.25" style="31" customWidth="1"/>
    <col min="15" max="15" width="7" style="31" customWidth="1"/>
    <col min="16" max="16" width="1" style="31" customWidth="1"/>
    <col min="17" max="17" width="9.125" style="31"/>
    <col min="18" max="18" width="3.75" style="31" customWidth="1"/>
    <col min="19" max="16384" width="9.125" style="31"/>
  </cols>
  <sheetData>
    <row r="1" spans="1:41" ht="21.75" customHeight="1">
      <c r="A1" s="30"/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 ht="15" customHeight="1">
      <c r="A2" s="30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</row>
    <row r="3" spans="1:41" ht="15" customHeight="1">
      <c r="A3" s="30"/>
      <c r="B3" s="30"/>
      <c r="C3" s="30"/>
      <c r="D3" s="30"/>
      <c r="E3" s="30"/>
      <c r="F3" s="30"/>
      <c r="G3" s="30"/>
      <c r="H3" s="32"/>
      <c r="I3" s="32"/>
      <c r="J3" s="32"/>
      <c r="K3" s="32"/>
      <c r="L3" s="30"/>
      <c r="M3" s="33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</row>
    <row r="4" spans="1:41" ht="16.5" customHeight="1">
      <c r="A4" s="34"/>
      <c r="B4" s="34"/>
      <c r="C4" s="34"/>
      <c r="D4" s="34"/>
      <c r="E4" s="34"/>
      <c r="F4" s="30"/>
      <c r="G4" s="35"/>
      <c r="H4" s="35"/>
      <c r="I4" s="35"/>
      <c r="J4" s="35"/>
      <c r="K4" s="35"/>
      <c r="L4" s="35"/>
      <c r="M4" s="36"/>
      <c r="N4" s="35"/>
      <c r="O4" s="35"/>
      <c r="P4" s="35"/>
      <c r="Q4" s="35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</row>
    <row r="5" spans="1:41" ht="21" customHeight="1" thickBot="1">
      <c r="A5" s="34"/>
      <c r="B5" s="37"/>
      <c r="C5" s="37"/>
      <c r="D5" s="37"/>
      <c r="E5" s="37"/>
      <c r="F5" s="33"/>
      <c r="G5" s="36"/>
      <c r="H5" s="38" t="s">
        <v>1</v>
      </c>
      <c r="I5" s="38"/>
      <c r="J5" s="39"/>
      <c r="K5" s="39"/>
      <c r="L5" s="39"/>
      <c r="M5" s="38"/>
      <c r="N5" s="39"/>
      <c r="O5" s="39"/>
      <c r="P5" s="39"/>
      <c r="Q5" s="39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</row>
    <row r="6" spans="1:41" ht="27" customHeight="1" thickTop="1">
      <c r="B6" s="40" t="s">
        <v>2</v>
      </c>
      <c r="C6" s="41"/>
      <c r="D6" s="83">
        <v>26030901</v>
      </c>
      <c r="E6" s="83"/>
      <c r="F6" s="83"/>
      <c r="G6" s="42"/>
      <c r="H6" s="43" t="s">
        <v>3</v>
      </c>
      <c r="I6" s="44"/>
      <c r="J6" s="84" t="s">
        <v>4</v>
      </c>
      <c r="K6" s="84"/>
      <c r="L6" s="43" t="s">
        <v>5</v>
      </c>
      <c r="M6" s="44"/>
      <c r="N6" s="45" t="s">
        <v>6</v>
      </c>
      <c r="O6" s="43" t="s">
        <v>7</v>
      </c>
      <c r="P6" s="44"/>
      <c r="Q6" s="84" t="s">
        <v>8</v>
      </c>
      <c r="R6" s="84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</row>
    <row r="7" spans="1:41" ht="26.25" customHeight="1">
      <c r="A7" s="34"/>
      <c r="B7" s="46" t="s">
        <v>9</v>
      </c>
      <c r="C7" s="47"/>
      <c r="D7" s="85">
        <v>46090</v>
      </c>
      <c r="E7" s="85"/>
      <c r="F7" s="86"/>
      <c r="G7" s="42"/>
      <c r="H7" s="48" t="s">
        <v>10</v>
      </c>
      <c r="I7" s="49"/>
      <c r="J7" s="87" t="s">
        <v>11</v>
      </c>
      <c r="K7" s="87"/>
      <c r="L7" s="48" t="s">
        <v>12</v>
      </c>
      <c r="M7" s="49"/>
      <c r="N7" s="88" t="s">
        <v>13</v>
      </c>
      <c r="O7" s="88"/>
      <c r="P7" s="88"/>
      <c r="Q7" s="88"/>
      <c r="R7" s="88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</row>
    <row r="8" spans="1:41" ht="26.25" customHeight="1">
      <c r="A8" s="34"/>
      <c r="B8" s="46" t="s">
        <v>14</v>
      </c>
      <c r="C8" s="47"/>
      <c r="D8" s="89" t="s">
        <v>15</v>
      </c>
      <c r="E8" s="90"/>
      <c r="F8" s="91"/>
      <c r="G8" s="42"/>
      <c r="H8" s="48" t="s">
        <v>16</v>
      </c>
      <c r="I8" s="49"/>
      <c r="J8" s="87" t="s">
        <v>17</v>
      </c>
      <c r="K8" s="92"/>
      <c r="L8" s="48" t="s">
        <v>18</v>
      </c>
      <c r="M8" s="49"/>
      <c r="N8" s="88" t="s">
        <v>19</v>
      </c>
      <c r="O8" s="88"/>
      <c r="P8" s="88"/>
      <c r="Q8" s="88"/>
      <c r="R8" s="88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</row>
    <row r="9" spans="1:41" ht="27.75" customHeight="1">
      <c r="A9" s="34"/>
      <c r="B9" s="50" t="s">
        <v>20</v>
      </c>
      <c r="C9" s="47"/>
      <c r="D9" s="93" t="s">
        <v>21</v>
      </c>
      <c r="E9" s="93"/>
      <c r="F9" s="93"/>
      <c r="G9" s="42"/>
      <c r="H9" s="51" t="s">
        <v>22</v>
      </c>
      <c r="I9" s="52"/>
      <c r="J9" s="94" t="s">
        <v>23</v>
      </c>
      <c r="K9" s="95"/>
      <c r="L9" s="95"/>
      <c r="M9" s="95"/>
      <c r="N9" s="95"/>
      <c r="O9" s="95"/>
      <c r="P9" s="95"/>
      <c r="Q9" s="95"/>
      <c r="R9" s="95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</row>
    <row r="10" spans="1:41" ht="17.25" thickBot="1">
      <c r="A10" s="34"/>
      <c r="B10" s="53"/>
      <c r="C10" s="53"/>
      <c r="D10" s="53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</row>
    <row r="11" spans="1:41" ht="50.25" customHeight="1" thickTop="1">
      <c r="A11" s="34"/>
      <c r="B11" s="96" t="s">
        <v>24</v>
      </c>
      <c r="C11" s="96"/>
      <c r="D11" s="96"/>
      <c r="E11" s="97" t="str">
        <f>"일금 "&amp;NUMBERSTRING(K18,1)&amp;" 원정"&amp;TEXT(K18,"(₩#,###)")</f>
        <v>일금 삼백팔십만 원정(₩3,800,000)</v>
      </c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</row>
    <row r="12" spans="1:41" ht="17.25" thickBot="1">
      <c r="A12" s="30"/>
      <c r="B12" s="54"/>
      <c r="C12" s="54"/>
      <c r="D12" s="54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</row>
    <row r="13" spans="1:41" ht="29.25" customHeight="1" thickTop="1">
      <c r="A13" s="30"/>
      <c r="B13" s="99" t="s">
        <v>25</v>
      </c>
      <c r="C13" s="100"/>
      <c r="D13" s="100"/>
      <c r="E13" s="101"/>
      <c r="F13" s="102" t="s">
        <v>26</v>
      </c>
      <c r="G13" s="101"/>
      <c r="H13" s="55" t="s">
        <v>27</v>
      </c>
      <c r="I13" s="103" t="s">
        <v>28</v>
      </c>
      <c r="J13" s="104"/>
      <c r="K13" s="105" t="s">
        <v>29</v>
      </c>
      <c r="L13" s="105"/>
      <c r="M13" s="105"/>
      <c r="N13" s="106"/>
      <c r="O13" s="105" t="s">
        <v>30</v>
      </c>
      <c r="P13" s="105"/>
      <c r="Q13" s="105"/>
      <c r="R13" s="105"/>
      <c r="S13" s="56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</row>
    <row r="14" spans="1:41" ht="28.5" customHeight="1">
      <c r="A14" s="30"/>
      <c r="B14" s="118" t="str">
        <f>Sheet2!C3</f>
        <v>옥상 우레탄방수 3mm (제 2안)</v>
      </c>
      <c r="C14" s="119"/>
      <c r="D14" s="119"/>
      <c r="E14" s="120"/>
      <c r="F14" s="121" t="s">
        <v>31</v>
      </c>
      <c r="G14" s="114"/>
      <c r="H14" s="57">
        <v>1</v>
      </c>
      <c r="I14" s="122"/>
      <c r="J14" s="123"/>
      <c r="K14" s="124">
        <f>Sheet2!M21</f>
        <v>3836800</v>
      </c>
      <c r="L14" s="119"/>
      <c r="M14" s="119"/>
      <c r="N14" s="120"/>
      <c r="O14" s="125"/>
      <c r="P14" s="126"/>
      <c r="Q14" s="126"/>
      <c r="R14" s="127"/>
      <c r="S14" s="56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</row>
    <row r="15" spans="1:41" ht="25.5" customHeight="1">
      <c r="A15" s="30"/>
      <c r="B15" s="107"/>
      <c r="C15" s="108"/>
      <c r="D15" s="108"/>
      <c r="E15" s="109"/>
      <c r="F15" s="110"/>
      <c r="G15" s="110"/>
      <c r="H15" s="58"/>
      <c r="I15" s="111"/>
      <c r="J15" s="110"/>
      <c r="K15" s="112"/>
      <c r="L15" s="113"/>
      <c r="M15" s="113"/>
      <c r="N15" s="114"/>
      <c r="O15" s="115"/>
      <c r="P15" s="116"/>
      <c r="Q15" s="116"/>
      <c r="R15" s="117"/>
      <c r="S15" s="56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</row>
    <row r="16" spans="1:41" ht="25.5" customHeight="1">
      <c r="A16" s="30"/>
      <c r="B16" s="115"/>
      <c r="C16" s="116"/>
      <c r="D16" s="116"/>
      <c r="E16" s="117"/>
      <c r="F16" s="115"/>
      <c r="G16" s="117"/>
      <c r="H16" s="58"/>
      <c r="I16" s="115"/>
      <c r="J16" s="117"/>
      <c r="K16" s="112"/>
      <c r="L16" s="113"/>
      <c r="M16" s="113"/>
      <c r="N16" s="114"/>
      <c r="O16" s="115"/>
      <c r="P16" s="116"/>
      <c r="Q16" s="116"/>
      <c r="R16" s="117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</row>
    <row r="17" spans="1:41" ht="25.5" customHeight="1">
      <c r="A17" s="30"/>
      <c r="B17" s="115"/>
      <c r="C17" s="116"/>
      <c r="D17" s="116"/>
      <c r="E17" s="143"/>
      <c r="F17" s="110"/>
      <c r="G17" s="110"/>
      <c r="H17" s="58"/>
      <c r="I17" s="111"/>
      <c r="J17" s="110"/>
      <c r="K17" s="112"/>
      <c r="L17" s="113"/>
      <c r="M17" s="113"/>
      <c r="N17" s="114"/>
      <c r="O17" s="115"/>
      <c r="P17" s="116"/>
      <c r="Q17" s="116"/>
      <c r="R17" s="117"/>
      <c r="S17" s="56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</row>
    <row r="18" spans="1:41" ht="27" customHeight="1">
      <c r="A18" s="30"/>
      <c r="B18" s="144" t="s">
        <v>32</v>
      </c>
      <c r="C18" s="145"/>
      <c r="D18" s="145"/>
      <c r="E18" s="146"/>
      <c r="F18" s="147"/>
      <c r="G18" s="148"/>
      <c r="H18" s="59"/>
      <c r="I18" s="144"/>
      <c r="J18" s="145"/>
      <c r="K18" s="149">
        <f>Sheet2!M22</f>
        <v>3800000</v>
      </c>
      <c r="L18" s="119"/>
      <c r="M18" s="119"/>
      <c r="N18" s="120"/>
      <c r="O18" s="144" t="s">
        <v>33</v>
      </c>
      <c r="P18" s="145"/>
      <c r="Q18" s="145"/>
      <c r="R18" s="145"/>
      <c r="S18" s="56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</row>
    <row r="19" spans="1:41" ht="26.25" customHeight="1">
      <c r="A19" s="30"/>
      <c r="B19" s="128" t="s">
        <v>34</v>
      </c>
      <c r="C19" s="129"/>
      <c r="D19" s="134" t="s">
        <v>35</v>
      </c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6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</row>
    <row r="20" spans="1:41" ht="19.5" customHeight="1">
      <c r="A20" s="30"/>
      <c r="B20" s="130"/>
      <c r="C20" s="131"/>
      <c r="D20" s="137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9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</row>
    <row r="21" spans="1:41" ht="21" customHeight="1">
      <c r="A21" s="30"/>
      <c r="B21" s="130"/>
      <c r="C21" s="131"/>
      <c r="D21" s="137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9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</row>
    <row r="22" spans="1:41">
      <c r="A22" s="30"/>
      <c r="B22" s="132"/>
      <c r="C22" s="133"/>
      <c r="D22" s="140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2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</row>
    <row r="23" spans="1:41">
      <c r="A23" s="3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</row>
    <row r="24" spans="1:41">
      <c r="A24" s="30"/>
      <c r="B24" s="61"/>
      <c r="C24" s="61"/>
      <c r="D24" s="61"/>
      <c r="E24" s="62" t="s">
        <v>36</v>
      </c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</row>
    <row r="25" spans="1:41">
      <c r="A25" s="30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</row>
    <row r="26" spans="1:41">
      <c r="A26" s="30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</row>
    <row r="27" spans="1:41">
      <c r="A27" s="30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</row>
    <row r="28" spans="1:41">
      <c r="A28" s="30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</row>
    <row r="29" spans="1:41">
      <c r="A29" s="30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</row>
    <row r="30" spans="1:41">
      <c r="A30" s="30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</row>
    <row r="31" spans="1:41">
      <c r="A31" s="30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</row>
    <row r="32" spans="1:41">
      <c r="A32" s="30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</row>
    <row r="33" spans="1:41">
      <c r="A33" s="30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</row>
    <row r="34" spans="1:41">
      <c r="A34" s="30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</row>
    <row r="35" spans="1:41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3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</row>
    <row r="36" spans="1:41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3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</row>
    <row r="37" spans="1:41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3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</row>
    <row r="38" spans="1:41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3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</row>
    <row r="39" spans="1:41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3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</row>
    <row r="40" spans="1:41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3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</row>
    <row r="41" spans="1: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3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</row>
    <row r="42" spans="1:4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3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</row>
    <row r="43" spans="1:41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3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</row>
    <row r="44" spans="1:4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3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</row>
    <row r="45" spans="1:41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3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</row>
    <row r="46" spans="1:41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3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</row>
    <row r="47" spans="1:41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3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</row>
    <row r="48" spans="1:41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3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</row>
    <row r="49" spans="1:41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3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</row>
    <row r="50" spans="1:41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3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</row>
    <row r="51" spans="1:4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3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</row>
    <row r="52" spans="1:41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3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</row>
    <row r="53" spans="1:4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3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</row>
    <row r="54" spans="1:41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3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</row>
    <row r="55" spans="1:41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3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</row>
    <row r="56" spans="1:41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3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</row>
    <row r="57" spans="1:41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3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</row>
    <row r="58" spans="1:41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3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</row>
    <row r="59" spans="1:41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3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</row>
  </sheetData>
  <mergeCells count="48"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8:E18"/>
    <mergeCell ref="F18:G18"/>
    <mergeCell ref="I18:J18"/>
    <mergeCell ref="K18:N18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E10:R10"/>
    <mergeCell ref="B1:R2"/>
    <mergeCell ref="D6:F6"/>
    <mergeCell ref="J6:K6"/>
    <mergeCell ref="Q6:R6"/>
    <mergeCell ref="D7:F7"/>
    <mergeCell ref="J7:K7"/>
    <mergeCell ref="N7:R7"/>
    <mergeCell ref="D8:F8"/>
    <mergeCell ref="J8:K8"/>
    <mergeCell ref="N8:R8"/>
    <mergeCell ref="D9:F9"/>
    <mergeCell ref="J9:R9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>
    <pageSetUpPr fitToPage="1"/>
  </sheetPr>
  <dimension ref="A1:R29"/>
  <sheetViews>
    <sheetView tabSelected="1" topLeftCell="A7" zoomScale="70" zoomScaleNormal="70" workbookViewId="0">
      <selection activeCell="C9" sqref="C9"/>
    </sheetView>
  </sheetViews>
  <sheetFormatPr defaultRowHeight="16.5"/>
  <cols>
    <col min="2" max="2" width="18.625" customWidth="1"/>
    <col min="3" max="3" width="17.625" customWidth="1"/>
    <col min="4" max="4" width="7.25" customWidth="1"/>
    <col min="5" max="5" width="9.25" customWidth="1"/>
    <col min="6" max="6" width="11.375" customWidth="1"/>
    <col min="7" max="7" width="13.75" customWidth="1"/>
    <col min="8" max="8" width="11.875" customWidth="1"/>
    <col min="9" max="9" width="14.25" customWidth="1"/>
    <col min="10" max="10" width="11.75" customWidth="1"/>
    <col min="11" max="11" width="14.375" customWidth="1"/>
    <col min="12" max="12" width="10.75" customWidth="1"/>
    <col min="13" max="13" width="17.125" customWidth="1"/>
    <col min="14" max="14" width="10.875" customWidth="1"/>
    <col min="17" max="17" width="7.875" customWidth="1"/>
  </cols>
  <sheetData>
    <row r="1" spans="1:18" ht="30" customHeight="1">
      <c r="A1" s="1"/>
      <c r="D1" s="1"/>
      <c r="E1" s="1"/>
      <c r="F1" s="1"/>
      <c r="O1" s="1"/>
      <c r="P1" s="1"/>
      <c r="Q1" s="1"/>
      <c r="R1" s="1"/>
    </row>
    <row r="2" spans="1:18" ht="30" customHeight="1" thickBot="1">
      <c r="A2" s="1"/>
      <c r="D2" s="1"/>
      <c r="E2" s="1"/>
      <c r="F2" s="1"/>
      <c r="O2" s="1"/>
      <c r="P2" s="1"/>
      <c r="Q2" s="1"/>
      <c r="R2" s="1"/>
    </row>
    <row r="3" spans="1:18" ht="30" customHeight="1" thickTop="1" thickBot="1">
      <c r="A3" s="1"/>
      <c r="B3" s="64" t="s">
        <v>37</v>
      </c>
      <c r="C3" s="78" t="s">
        <v>38</v>
      </c>
      <c r="D3" s="79"/>
      <c r="E3" s="79"/>
      <c r="F3" s="79"/>
      <c r="G3" s="79"/>
      <c r="H3" s="79"/>
      <c r="I3" s="79"/>
      <c r="J3" s="79"/>
      <c r="K3" s="79"/>
      <c r="L3" s="79"/>
      <c r="M3" s="79"/>
      <c r="N3" s="80"/>
    </row>
    <row r="4" spans="1:18" ht="15" customHeight="1" thickBot="1">
      <c r="A4" s="1"/>
      <c r="D4" s="1"/>
      <c r="E4" s="1"/>
      <c r="F4" s="1"/>
    </row>
    <row r="5" spans="1:18" ht="31.9" customHeight="1" thickTop="1">
      <c r="A5" s="1"/>
      <c r="B5" s="65" t="s">
        <v>25</v>
      </c>
      <c r="C5" s="67" t="s">
        <v>26</v>
      </c>
      <c r="D5" s="67" t="s">
        <v>39</v>
      </c>
      <c r="E5" s="67" t="s">
        <v>27</v>
      </c>
      <c r="F5" s="74" t="s">
        <v>40</v>
      </c>
      <c r="G5" s="75"/>
      <c r="H5" s="76" t="s">
        <v>41</v>
      </c>
      <c r="I5" s="77"/>
      <c r="J5" s="74" t="s">
        <v>42</v>
      </c>
      <c r="K5" s="75"/>
      <c r="L5" s="76" t="s">
        <v>43</v>
      </c>
      <c r="M5" s="77"/>
      <c r="N5" s="72" t="s">
        <v>30</v>
      </c>
      <c r="O5" s="1"/>
      <c r="P5" s="1"/>
      <c r="Q5" s="1"/>
      <c r="R5" s="1"/>
    </row>
    <row r="6" spans="1:18" ht="31.35" customHeight="1">
      <c r="A6" s="1"/>
      <c r="B6" s="66"/>
      <c r="C6" s="68"/>
      <c r="D6" s="68"/>
      <c r="E6" s="68"/>
      <c r="F6" s="69" t="s">
        <v>28</v>
      </c>
      <c r="G6" s="69" t="s">
        <v>29</v>
      </c>
      <c r="H6" s="70" t="s">
        <v>28</v>
      </c>
      <c r="I6" s="71" t="s">
        <v>29</v>
      </c>
      <c r="J6" s="69" t="s">
        <v>28</v>
      </c>
      <c r="K6" s="69" t="s">
        <v>29</v>
      </c>
      <c r="L6" s="71" t="s">
        <v>28</v>
      </c>
      <c r="M6" s="69" t="s">
        <v>29</v>
      </c>
      <c r="N6" s="73"/>
      <c r="O6" s="1"/>
      <c r="P6" s="1"/>
      <c r="Q6" s="1"/>
      <c r="R6" s="1"/>
    </row>
    <row r="7" spans="1:18" ht="30" customHeight="1">
      <c r="A7" s="1"/>
      <c r="B7" s="17" t="s">
        <v>44</v>
      </c>
      <c r="C7" s="6" t="s">
        <v>45</v>
      </c>
      <c r="D7" s="12" t="s">
        <v>46</v>
      </c>
      <c r="E7" s="3">
        <v>100</v>
      </c>
      <c r="F7" s="4">
        <v>700</v>
      </c>
      <c r="G7" s="3">
        <f>E7*F7</f>
        <v>70000</v>
      </c>
      <c r="H7" s="4">
        <v>1500</v>
      </c>
      <c r="I7" s="3">
        <f>H7*E7</f>
        <v>150000</v>
      </c>
      <c r="J7" s="4"/>
      <c r="K7" s="4"/>
      <c r="L7" s="5">
        <f>J7+H7+F7</f>
        <v>2200</v>
      </c>
      <c r="M7" s="3">
        <f>SUM(K7+I7+G7)</f>
        <v>220000</v>
      </c>
      <c r="N7" s="12"/>
    </row>
    <row r="8" spans="1:18" ht="34.5">
      <c r="A8" s="1"/>
      <c r="B8" s="27" t="s">
        <v>47</v>
      </c>
      <c r="C8" s="28"/>
      <c r="D8" s="29" t="s">
        <v>48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 t="shared" ref="M8" si="0">SUM(K8+I8+G8)</f>
        <v>0</v>
      </c>
      <c r="N8" s="12"/>
    </row>
    <row r="9" spans="1:18" ht="37.9" customHeight="1">
      <c r="A9" s="1"/>
      <c r="B9" s="15" t="s">
        <v>49</v>
      </c>
      <c r="C9" s="150" t="s">
        <v>70</v>
      </c>
      <c r="D9" s="12" t="s">
        <v>46</v>
      </c>
      <c r="E9" s="3">
        <v>100</v>
      </c>
      <c r="F9" s="4">
        <v>1400</v>
      </c>
      <c r="G9" s="3">
        <f t="shared" ref="G9:G11" si="1">E9*F9</f>
        <v>140000</v>
      </c>
      <c r="H9" s="4">
        <v>1600</v>
      </c>
      <c r="I9" s="3">
        <f t="shared" ref="I9:I11" si="2">H9*E9</f>
        <v>160000</v>
      </c>
      <c r="J9" s="4"/>
      <c r="K9" s="4"/>
      <c r="L9" s="5">
        <f t="shared" ref="L9:L12" si="3">J9+H9+F9</f>
        <v>3000</v>
      </c>
      <c r="M9" s="3">
        <f t="shared" ref="M9:M12" si="4">SUM(K9+I9+G9)</f>
        <v>300000</v>
      </c>
      <c r="N9" s="12"/>
    </row>
    <row r="10" spans="1:18" ht="30" customHeight="1">
      <c r="A10" s="1"/>
      <c r="B10" s="15" t="s">
        <v>50</v>
      </c>
      <c r="C10" s="6" t="s">
        <v>51</v>
      </c>
      <c r="D10" s="12" t="s">
        <v>46</v>
      </c>
      <c r="E10" s="3">
        <v>100</v>
      </c>
      <c r="F10" s="4">
        <v>5000</v>
      </c>
      <c r="G10" s="3">
        <f t="shared" si="1"/>
        <v>500000</v>
      </c>
      <c r="H10" s="4">
        <v>3500</v>
      </c>
      <c r="I10" s="3">
        <f t="shared" si="2"/>
        <v>350000</v>
      </c>
      <c r="J10" s="4">
        <v>300</v>
      </c>
      <c r="K10" s="3">
        <f>J10*E10</f>
        <v>30000</v>
      </c>
      <c r="L10" s="5">
        <f t="shared" si="3"/>
        <v>8800</v>
      </c>
      <c r="M10" s="3">
        <f t="shared" si="4"/>
        <v>880000</v>
      </c>
      <c r="N10" s="12"/>
    </row>
    <row r="11" spans="1:18" ht="30" customHeight="1">
      <c r="A11" s="1"/>
      <c r="B11" s="16" t="s">
        <v>52</v>
      </c>
      <c r="C11" s="6" t="s">
        <v>53</v>
      </c>
      <c r="D11" s="12" t="s">
        <v>46</v>
      </c>
      <c r="E11" s="3">
        <v>100</v>
      </c>
      <c r="F11" s="4">
        <v>10000</v>
      </c>
      <c r="G11" s="3">
        <f t="shared" si="1"/>
        <v>1000000</v>
      </c>
      <c r="H11" s="4">
        <v>5500</v>
      </c>
      <c r="I11" s="3">
        <f t="shared" si="2"/>
        <v>550000</v>
      </c>
      <c r="J11" s="4">
        <v>500</v>
      </c>
      <c r="K11" s="3">
        <f>J11*E11</f>
        <v>50000</v>
      </c>
      <c r="L11" s="5">
        <f t="shared" si="3"/>
        <v>16000</v>
      </c>
      <c r="M11" s="3">
        <f t="shared" si="4"/>
        <v>1600000</v>
      </c>
      <c r="N11" s="12"/>
    </row>
    <row r="12" spans="1:18" ht="30" customHeight="1">
      <c r="A12" s="1"/>
      <c r="B12" s="16" t="s">
        <v>54</v>
      </c>
      <c r="C12" s="6" t="s">
        <v>55</v>
      </c>
      <c r="D12" s="12" t="s">
        <v>46</v>
      </c>
      <c r="E12" s="3"/>
      <c r="F12" s="4">
        <v>5000</v>
      </c>
      <c r="G12" s="4"/>
      <c r="H12" s="4">
        <v>4300</v>
      </c>
      <c r="I12" s="4"/>
      <c r="J12" s="4">
        <v>500</v>
      </c>
      <c r="K12" s="3">
        <f>J12*E12</f>
        <v>0</v>
      </c>
      <c r="L12" s="7">
        <f t="shared" si="3"/>
        <v>9800</v>
      </c>
      <c r="M12" s="3">
        <f t="shared" si="4"/>
        <v>0</v>
      </c>
      <c r="N12" s="12"/>
    </row>
    <row r="13" spans="1:18" ht="30" customHeight="1">
      <c r="B13" s="16" t="s">
        <v>56</v>
      </c>
      <c r="C13" s="6" t="s">
        <v>57</v>
      </c>
      <c r="D13" s="12" t="s">
        <v>46</v>
      </c>
      <c r="E13" s="3">
        <v>100</v>
      </c>
      <c r="F13" s="4">
        <v>2200</v>
      </c>
      <c r="G13" s="3">
        <f t="shared" ref="G13" si="5">E13*F13</f>
        <v>220000</v>
      </c>
      <c r="H13" s="4">
        <v>1800</v>
      </c>
      <c r="I13" s="3">
        <f t="shared" ref="I13" si="6">H13*E13</f>
        <v>180000</v>
      </c>
      <c r="J13" s="4"/>
      <c r="K13" s="4"/>
      <c r="L13" s="5">
        <f t="shared" ref="L13" si="7">J13+H13+F13</f>
        <v>4000</v>
      </c>
      <c r="M13" s="3">
        <f t="shared" ref="M13:M16" si="8">SUM(K13+I13+G13)</f>
        <v>400000</v>
      </c>
      <c r="N13" s="12"/>
    </row>
    <row r="14" spans="1:18" ht="30" customHeight="1">
      <c r="B14" s="16" t="s">
        <v>58</v>
      </c>
      <c r="C14" s="6"/>
      <c r="D14" s="12" t="s">
        <v>59</v>
      </c>
      <c r="E14" s="3">
        <v>1</v>
      </c>
      <c r="F14" s="3"/>
      <c r="G14" s="3"/>
      <c r="H14" s="3"/>
      <c r="I14" s="3"/>
      <c r="J14" s="3"/>
      <c r="K14" s="3">
        <v>120000</v>
      </c>
      <c r="L14" s="5">
        <f>SUM(K14+I14+G14)</f>
        <v>120000</v>
      </c>
      <c r="M14" s="3">
        <f t="shared" si="8"/>
        <v>120000</v>
      </c>
      <c r="N14" s="12"/>
    </row>
    <row r="15" spans="1:18" ht="30" customHeight="1">
      <c r="B15" s="16" t="s">
        <v>60</v>
      </c>
      <c r="C15" s="6"/>
      <c r="D15" s="12" t="s">
        <v>61</v>
      </c>
      <c r="E15" s="3">
        <v>1</v>
      </c>
      <c r="F15" s="3"/>
      <c r="G15" s="3"/>
      <c r="H15" s="3"/>
      <c r="I15" s="3"/>
      <c r="J15" s="3"/>
      <c r="K15" s="3"/>
      <c r="L15" s="5">
        <f>SUM(K15+I15+G15)</f>
        <v>0</v>
      </c>
      <c r="M15" s="3">
        <f t="shared" si="8"/>
        <v>0</v>
      </c>
      <c r="N15" s="12"/>
    </row>
    <row r="16" spans="1:18" ht="30" customHeight="1">
      <c r="B16" s="16" t="s">
        <v>62</v>
      </c>
      <c r="C16" s="6"/>
      <c r="D16" s="12" t="s">
        <v>61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 t="shared" si="8"/>
        <v>0</v>
      </c>
      <c r="N16" s="12"/>
    </row>
    <row r="17" spans="2:14" ht="30" customHeight="1">
      <c r="B17" s="16"/>
      <c r="C17" s="6"/>
      <c r="D17" s="12"/>
      <c r="E17" s="3"/>
      <c r="F17" s="3"/>
      <c r="G17" s="3"/>
      <c r="H17" s="3"/>
      <c r="I17" s="3"/>
      <c r="J17" s="3"/>
      <c r="K17" s="3"/>
      <c r="L17" s="5"/>
      <c r="M17" s="3"/>
      <c r="N17" s="12"/>
    </row>
    <row r="18" spans="2:14" ht="30" customHeight="1">
      <c r="B18" s="18" t="s">
        <v>63</v>
      </c>
      <c r="C18" s="8"/>
      <c r="D18" s="9"/>
      <c r="E18" s="2"/>
      <c r="F18" s="2"/>
      <c r="G18" s="10">
        <f>SUM(G7:G17)</f>
        <v>1930000</v>
      </c>
      <c r="H18" s="19"/>
      <c r="I18" s="10">
        <f>SUM(I7:I17)</f>
        <v>1390000</v>
      </c>
      <c r="J18" s="2"/>
      <c r="K18" s="10">
        <f>SUM(K7:K17)</f>
        <v>200000</v>
      </c>
      <c r="L18" s="2"/>
      <c r="M18" s="2">
        <f>SUM(M7:M17)</f>
        <v>3520000</v>
      </c>
      <c r="N18" s="11"/>
    </row>
    <row r="19" spans="2:14" ht="32.450000000000003" customHeight="1">
      <c r="B19" s="20" t="s">
        <v>64</v>
      </c>
      <c r="C19" s="6"/>
      <c r="D19" s="12" t="s">
        <v>65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105600</v>
      </c>
      <c r="N19" s="12"/>
    </row>
    <row r="20" spans="2:14" ht="30" customHeight="1">
      <c r="B20" s="21" t="s">
        <v>66</v>
      </c>
      <c r="C20" s="6"/>
      <c r="D20" s="12" t="s">
        <v>65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211200</v>
      </c>
      <c r="N20" s="12"/>
    </row>
    <row r="21" spans="2:14" ht="30" customHeight="1">
      <c r="B21" s="22" t="s">
        <v>67</v>
      </c>
      <c r="C21" s="23"/>
      <c r="D21" s="11"/>
      <c r="E21" s="11"/>
      <c r="F21" s="13"/>
      <c r="G21" s="10"/>
      <c r="H21" s="11"/>
      <c r="I21" s="10"/>
      <c r="J21" s="11"/>
      <c r="K21" s="10"/>
      <c r="L21" s="11"/>
      <c r="M21" s="10">
        <f>SUM(M18:M20)</f>
        <v>3836800</v>
      </c>
      <c r="N21" s="11"/>
    </row>
    <row r="22" spans="2:14" ht="30" customHeight="1">
      <c r="B22" s="24" t="s">
        <v>68</v>
      </c>
      <c r="C22" s="25"/>
      <c r="D22" s="11"/>
      <c r="E22" s="11"/>
      <c r="F22" s="13"/>
      <c r="G22" s="11"/>
      <c r="H22" s="11"/>
      <c r="I22" s="11"/>
      <c r="J22" s="11"/>
      <c r="K22" s="11"/>
      <c r="L22" s="11"/>
      <c r="M22" s="14">
        <f>FLOOR(M21, 100000)</f>
        <v>3800000</v>
      </c>
      <c r="N22" s="26" t="s">
        <v>69</v>
      </c>
    </row>
    <row r="23" spans="2:14" ht="27" customHeight="1"/>
    <row r="25" spans="2:14" ht="28.35" customHeight="1"/>
    <row r="26" spans="2:14" ht="24" customHeight="1"/>
    <row r="27" spans="2:14" ht="25.9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6.5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김아라</dc:creator>
  <cp:keywords/>
  <dc:description/>
  <cp:lastModifiedBy>김혜진</cp:lastModifiedBy>
  <cp:revision/>
  <dcterms:created xsi:type="dcterms:W3CDTF">2025-04-06T12:41:57Z</dcterms:created>
  <dcterms:modified xsi:type="dcterms:W3CDTF">2026-03-16T06:06:36Z</dcterms:modified>
  <cp:category/>
  <cp:contentStatus/>
</cp:coreProperties>
</file>