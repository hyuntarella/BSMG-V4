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^F100평 미만/"/>
    </mc:Choice>
  </mc:AlternateContent>
  <xr:revisionPtr revIDLastSave="25" documentId="8_{7BAD86D2-4793-4A29-A145-CFD1A52CB3C7}" xr6:coauthVersionLast="47" xr6:coauthVersionMax="47" xr10:uidLastSave="{3E78F8E3-5E6A-46AF-9301-917C04731700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L16" i="3"/>
  <c r="L17" i="3"/>
  <c r="L15" i="3"/>
  <c r="L8" i="3"/>
  <c r="M17" i="3" l="1"/>
  <c r="M16" i="3"/>
  <c r="M15" i="3"/>
  <c r="M8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G7" i="3"/>
  <c r="M7" i="3" l="1"/>
  <c r="K18" i="3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<sst xmlns="http://schemas.openxmlformats.org/spreadsheetml/2006/main" count="90" uniqueCount="70">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</sst>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rgb="FFFF0000"/>
      <name val="Arial"/>
      <family val="2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25" fillId="0" borderId="0"/>
  </cellStyleXfs>
  <cellXfs count="147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A15DD084-1DDE-4FBD-9C53-C23411E1BCFD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00B54C48-96F8-4FB5-BFAD-CF9AC73E3C6F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ED0DAA1-A91E-4E48-884C-27A66513F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E85518B-8A4A-464C-86CA-03E4AA61F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2368-D6E5-4EB0-A7D2-72D77395ABF9}">
  <sheetPr>
    <pageSetUpPr fitToPage="1"/>
  </sheetPr>
  <dimension ref="A1:AO59"/>
  <sheetViews>
    <sheetView zoomScale="85" zoomScaleNormal="85" zoomScalePageLayoutView="57" workbookViewId="0">
      <selection activeCell="B14" sqref="B14:E14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39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사백오십만 원정(₩4,500,000)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2" t="str">
        <f>Sheet2!C3</f>
        <v>옥상 이중복합방수 3.8mm (제 1안)</v>
      </c>
      <c r="C14" s="30"/>
      <c r="D14" s="30"/>
      <c r="E14" s="31"/>
      <c r="F14" s="90" t="s">
        <v>28</v>
      </c>
      <c r="G14" s="91"/>
      <c r="H14" s="92">
        <v>1</v>
      </c>
      <c r="I14" s="93"/>
      <c r="J14" s="94"/>
      <c r="K14" s="33">
        <f>Sheet2!M21</f>
        <v>4599800</v>
      </c>
      <c r="L14" s="30"/>
      <c r="M14" s="30"/>
      <c r="N14" s="31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29">
        <f>Sheet2!M22</f>
        <v>4500000</v>
      </c>
      <c r="L18" s="30"/>
      <c r="M18" s="30"/>
      <c r="N18" s="31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40</v>
      </c>
      <c r="C19" s="117"/>
      <c r="D19" s="118" t="s">
        <v>41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B6" sqref="B6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0" t="s">
        <v>31</v>
      </c>
      <c r="G5" s="142"/>
      <c r="H5" s="140" t="s">
        <v>32</v>
      </c>
      <c r="I5" s="142"/>
      <c r="J5" s="140" t="s">
        <v>33</v>
      </c>
      <c r="K5" s="142"/>
      <c r="L5" s="140" t="s">
        <v>37</v>
      </c>
      <c r="M5" s="142"/>
      <c r="N5" s="146" t="s">
        <v>27</v>
      </c>
    </row>
    <row r="6" spans="1:18" ht="31.35" customHeight="1">
      <c r="A6" s="1"/>
      <c r="B6" s="137"/>
      <c r="C6" s="139"/>
      <c r="D6" s="139"/>
      <c r="E6" s="139"/>
      <c r="F6" s="141" t="s">
        <v>25</v>
      </c>
      <c r="G6" s="139" t="s">
        <v>26</v>
      </c>
      <c r="H6" s="141" t="s">
        <v>25</v>
      </c>
      <c r="I6" s="139" t="s">
        <v>26</v>
      </c>
      <c r="J6" s="144" t="s">
        <v>25</v>
      </c>
      <c r="K6" s="143" t="s">
        <v>26</v>
      </c>
      <c r="L6" s="144" t="s">
        <v>25</v>
      </c>
      <c r="M6" s="143" t="s">
        <v>26</v>
      </c>
      <c r="N6" s="145"/>
      <c r="O6" s="1"/>
      <c r="P6" s="1"/>
      <c r="Q6" s="1"/>
      <c r="R6" s="1"/>
    </row>
    <row r="7" spans="1:18" ht="30" customHeight="1">
      <c r="A7" s="1"/>
      <c r="B7" s="15" t="s">
        <v>42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1200</v>
      </c>
      <c r="I7" s="3">
        <f>H7*E7</f>
        <v>120000</v>
      </c>
      <c r="J7" s="4"/>
      <c r="K7" s="4"/>
      <c r="L7" s="5">
        <f>J7+H7+F7</f>
        <v>1500</v>
      </c>
      <c r="M7" s="3">
        <f>SUM(K7+I7+G7)</f>
        <v>150000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1"/>
    </row>
    <row r="9" spans="1:18" ht="30" customHeight="1">
      <c r="A9" s="1"/>
      <c r="B9" s="17" t="s">
        <v>43</v>
      </c>
      <c r="C9" s="6"/>
      <c r="D9" s="11" t="s">
        <v>35</v>
      </c>
      <c r="E9" s="3">
        <v>100</v>
      </c>
      <c r="F9" s="4">
        <v>700</v>
      </c>
      <c r="G9" s="3">
        <f t="shared" ref="G9:G12" si="1">E9*F9</f>
        <v>70000</v>
      </c>
      <c r="H9" s="4">
        <v>1300</v>
      </c>
      <c r="I9" s="3">
        <f t="shared" ref="I9:I12" si="2">H9*E9</f>
        <v>130000</v>
      </c>
      <c r="J9" s="4"/>
      <c r="K9" s="4"/>
      <c r="L9" s="5">
        <f t="shared" ref="L9:L12" si="3">J9+H9+F9</f>
        <v>2000</v>
      </c>
      <c r="M9" s="3">
        <f t="shared" ref="M9:M12" si="4">SUM(K9+I9+G9)</f>
        <v>200000</v>
      </c>
      <c r="N9" s="11"/>
    </row>
    <row r="10" spans="1:18" ht="30" customHeight="1">
      <c r="A10" s="1"/>
      <c r="B10" s="18" t="s">
        <v>44</v>
      </c>
      <c r="C10" s="6" t="s">
        <v>36</v>
      </c>
      <c r="D10" s="11" t="s">
        <v>35</v>
      </c>
      <c r="E10" s="3">
        <v>100</v>
      </c>
      <c r="F10" s="4">
        <v>10000</v>
      </c>
      <c r="G10" s="3">
        <f t="shared" si="1"/>
        <v>1000000</v>
      </c>
      <c r="H10" s="4">
        <v>7500</v>
      </c>
      <c r="I10" s="3">
        <f t="shared" si="2"/>
        <v>750000</v>
      </c>
      <c r="J10" s="4">
        <v>500</v>
      </c>
      <c r="K10" s="3">
        <f>J10*E10</f>
        <v>50000</v>
      </c>
      <c r="L10" s="5">
        <f t="shared" si="3"/>
        <v>18000</v>
      </c>
      <c r="M10" s="3">
        <f t="shared" si="4"/>
        <v>1800000</v>
      </c>
      <c r="N10" s="11"/>
    </row>
    <row r="11" spans="1:18" ht="38.4">
      <c r="A11" s="1"/>
      <c r="B11" s="18" t="s">
        <v>45</v>
      </c>
      <c r="C11" s="6"/>
      <c r="D11" s="11" t="s">
        <v>35</v>
      </c>
      <c r="E11" s="3">
        <v>100</v>
      </c>
      <c r="F11" s="4">
        <v>1300</v>
      </c>
      <c r="G11" s="3">
        <f t="shared" si="1"/>
        <v>130000</v>
      </c>
      <c r="H11" s="4">
        <v>1700</v>
      </c>
      <c r="I11" s="3">
        <f t="shared" si="2"/>
        <v>170000</v>
      </c>
      <c r="J11" s="4"/>
      <c r="K11" s="4"/>
      <c r="L11" s="5">
        <f t="shared" si="3"/>
        <v>3000</v>
      </c>
      <c r="M11" s="3">
        <f t="shared" si="4"/>
        <v>300000</v>
      </c>
      <c r="N11" s="11"/>
    </row>
    <row r="12" spans="1:18" ht="30" customHeight="1">
      <c r="A12" s="1"/>
      <c r="B12" s="17" t="s">
        <v>46</v>
      </c>
      <c r="C12" s="6" t="s">
        <v>47</v>
      </c>
      <c r="D12" s="11" t="s">
        <v>35</v>
      </c>
      <c r="E12" s="3">
        <v>100</v>
      </c>
      <c r="F12" s="4">
        <v>7500</v>
      </c>
      <c r="G12" s="3">
        <f t="shared" si="1"/>
        <v>750000</v>
      </c>
      <c r="H12" s="4">
        <v>4500</v>
      </c>
      <c r="I12" s="3">
        <f t="shared" si="2"/>
        <v>450000</v>
      </c>
      <c r="J12" s="4">
        <v>500</v>
      </c>
      <c r="K12" s="3">
        <f>J12*E12</f>
        <v>50000</v>
      </c>
      <c r="L12" s="5">
        <f t="shared" si="3"/>
        <v>12500</v>
      </c>
      <c r="M12" s="3">
        <f t="shared" si="4"/>
        <v>1250000</v>
      </c>
      <c r="N12" s="11"/>
    </row>
    <row r="13" spans="1:18" ht="30" customHeight="1">
      <c r="B13" s="17" t="s">
        <v>48</v>
      </c>
      <c r="C13" s="6" t="s">
        <v>49</v>
      </c>
      <c r="D13" s="11" t="s">
        <v>35</v>
      </c>
      <c r="E13" s="3"/>
      <c r="F13" s="4">
        <v>5000</v>
      </c>
      <c r="G13" s="3">
        <f t="shared" ref="G13:G14" si="5">E13*F13</f>
        <v>0</v>
      </c>
      <c r="H13" s="4">
        <v>4300</v>
      </c>
      <c r="I13" s="3">
        <f t="shared" ref="I13:I14" si="6">H13*E13</f>
        <v>0</v>
      </c>
      <c r="J13" s="4">
        <v>500</v>
      </c>
      <c r="K13" s="3">
        <f>J13*E13</f>
        <v>0</v>
      </c>
      <c r="L13" s="5">
        <f t="shared" ref="L13:L14" si="7">J13+H13+F13</f>
        <v>9800</v>
      </c>
      <c r="M13" s="3">
        <f t="shared" ref="M13:M17" si="8">SUM(K13+I13+G13)</f>
        <v>0</v>
      </c>
      <c r="N13" s="11"/>
    </row>
    <row r="14" spans="1:18" ht="30" customHeight="1">
      <c r="B14" s="17" t="s">
        <v>50</v>
      </c>
      <c r="C14" s="6" t="s">
        <v>51</v>
      </c>
      <c r="D14" s="11" t="s">
        <v>35</v>
      </c>
      <c r="E14" s="3">
        <v>100</v>
      </c>
      <c r="F14" s="4">
        <v>2200</v>
      </c>
      <c r="G14" s="3">
        <f t="shared" si="5"/>
        <v>220000</v>
      </c>
      <c r="H14" s="4">
        <v>1800</v>
      </c>
      <c r="I14" s="3">
        <f t="shared" si="6"/>
        <v>180000</v>
      </c>
      <c r="J14" s="4"/>
      <c r="K14" s="4"/>
      <c r="L14" s="5">
        <f t="shared" si="7"/>
        <v>4000</v>
      </c>
      <c r="M14" s="3">
        <f t="shared" si="8"/>
        <v>400000</v>
      </c>
      <c r="N14" s="11"/>
    </row>
    <row r="15" spans="1:18" ht="30" customHeight="1">
      <c r="B15" s="17" t="s">
        <v>52</v>
      </c>
      <c r="C15" s="6"/>
      <c r="D15" s="11" t="s">
        <v>53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 t="shared" si="8"/>
        <v>120000</v>
      </c>
      <c r="N15" s="11"/>
    </row>
    <row r="16" spans="1:18" ht="30" customHeight="1">
      <c r="B16" s="17" t="s">
        <v>54</v>
      </c>
      <c r="C16" s="6"/>
      <c r="D16" s="11" t="s">
        <v>55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1"/>
    </row>
    <row r="17" spans="2:14" ht="30" customHeight="1">
      <c r="B17" s="17" t="s">
        <v>56</v>
      </c>
      <c r="C17" s="6"/>
      <c r="D17" s="11" t="s">
        <v>55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 t="shared" si="8"/>
        <v>0</v>
      </c>
      <c r="N17" s="11"/>
    </row>
    <row r="18" spans="2:14" ht="30" customHeight="1">
      <c r="B18" s="19" t="s">
        <v>57</v>
      </c>
      <c r="C18" s="7"/>
      <c r="D18" s="8"/>
      <c r="E18" s="2"/>
      <c r="F18" s="2"/>
      <c r="G18" s="9">
        <f>SUM(G7:G17)</f>
        <v>2200000</v>
      </c>
      <c r="H18" s="20"/>
      <c r="I18" s="9">
        <f>SUM(I7:I17)</f>
        <v>1800000</v>
      </c>
      <c r="J18" s="2"/>
      <c r="K18" s="9">
        <f>SUM(K7:K17)</f>
        <v>220000</v>
      </c>
      <c r="L18" s="2"/>
      <c r="M18" s="2">
        <f>SUM(M7:M17)</f>
        <v>4220000</v>
      </c>
      <c r="N18" s="10"/>
    </row>
    <row r="19" spans="2:14" ht="38.4">
      <c r="B19" s="21" t="s">
        <v>58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126600</v>
      </c>
      <c r="N19" s="11"/>
    </row>
    <row r="20" spans="2:14" ht="30" customHeight="1">
      <c r="B20" s="14" t="s">
        <v>59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253200</v>
      </c>
      <c r="N20" s="11"/>
    </row>
    <row r="21" spans="2:14" ht="30" customHeight="1">
      <c r="B21" s="22" t="s">
        <v>60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4599800</v>
      </c>
      <c r="N21" s="10"/>
    </row>
    <row r="22" spans="2:14" ht="30" customHeight="1">
      <c r="B22" s="24" t="s">
        <v>61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4500000</v>
      </c>
      <c r="N22" s="26" t="s">
        <v>62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2026-03-09T04:39:49Z</dcterms:modified>
  <cp:category/>
  <cp:contentStatus/>
</cp:coreProperties>
</file>