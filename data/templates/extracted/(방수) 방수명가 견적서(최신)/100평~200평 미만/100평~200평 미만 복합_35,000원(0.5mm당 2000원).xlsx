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100평^F200평 미만/"/>
    </mc:Choice>
  </mc:AlternateContent>
  <xr:revisionPtr revIDLastSave="31" documentId="8_{ABD0200B-073F-42DF-BDCC-A8E1E3E25AB5}" xr6:coauthVersionLast="47" xr6:coauthVersionMax="47" xr10:uidLastSave="{31A04665-968E-4437-8EA3-096F7A8A3507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K14" i="5"/>
  <c r="E11" i="5"/>
  <c r="L13" i="3"/>
  <c r="K13" i="3"/>
  <c r="I13" i="3"/>
  <c r="G13" i="3"/>
  <c r="M17" i="3"/>
  <c r="L17" i="3"/>
  <c r="M16" i="3"/>
  <c r="L16" i="3"/>
  <c r="M15" i="3"/>
  <c r="L15" i="3"/>
  <c r="L14" i="3"/>
  <c r="I14" i="3"/>
  <c r="G14" i="3"/>
  <c r="L12" i="3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M8" i="3"/>
  <c r="L8" i="3"/>
  <c r="L7" i="3"/>
  <c r="I7" i="3"/>
  <c r="G7" i="3"/>
  <c r="M7" i="3" l="1"/>
  <c r="M9" i="3"/>
  <c r="M11" i="3"/>
  <c r="M13" i="3"/>
  <c r="M14" i="3"/>
  <c r="M10" i="3"/>
  <c r="M12" i="3"/>
  <c r="K18" i="3"/>
  <c r="G18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<sst xmlns="http://schemas.openxmlformats.org/spreadsheetml/2006/main" count="90" uniqueCount="70">
  <si>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</si>
  <si>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</si>
  <si>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</si>
  <si>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</si>
  <si>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</si>
  <si>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</si>
  <si>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</si>
  <si>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</si>
  <si>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</si>
  <si>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</si>
  <si>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</si>
  <si>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</si>
  <si>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</si>
  <si>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</si>
  <si>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</si>
  <si>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</si>
  <si>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</si>
  <si>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</si>
  <si>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</si>
  <si>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</si>
  <si>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</si>
  <si>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</si>
  <si>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</si>
  <si>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</si>
  <si>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</si>
  <si>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</si>
  <si>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</si>
  <si>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</si>
  <si>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</si>
  <si>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</si>
  <si>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</si>
  <si>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</si>
  <si>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</si>
  <si>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</si>
  <si>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</si>
  <si>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</si>
  <si>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</si>
  <si>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</si>
  <si>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</si>
  <si>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</si>
  <si>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</si>
  <si>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</si>
  <si>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</si>
  <si>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</si>
  <si>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</si>
  <si>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</si>
  <si>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</si>
  <si>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</si>
  <si>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</si>
  <si>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</si>
  <si>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</si>
  <si>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</si>
  <si>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</si>
  <si>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</si>
  <si>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</si>
  <si>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</si>
  <si>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</si>
  <si>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</si>
  <si>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</si>
  <si>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</si>
  <si>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</si>
  <si>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</si>
  <si>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</si>
  <si>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t>바탕조정제
부분미장</t>
    <phoneticPr fontId="5" type="noConversion"/>
  </si>
  <si>
    <t>식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</si>
  <si>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</si>
  <si>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</rPr>
      <t>)</t>
    </r>
    <phoneticPr fontId="5" type="noConversion"/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</si>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</sst>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1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5" fillId="0" borderId="0"/>
  </cellStyleXfs>
  <cellXfs count="148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21" fillId="0" borderId="16" xfId="0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" fillId="0" borderId="0" xfId="1" applyFont="1"/>
    <xf numFmtId="0" fontId="3" fillId="0" borderId="0" xfId="1" applyFont="1" applyAlignment="1">
      <alignment horizontal="center" wrapText="1"/>
    </xf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2" fillId="7" borderId="33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3" fillId="0" borderId="37" xfId="1" applyFont="1" applyBorder="1"/>
    <xf numFmtId="0" fontId="13" fillId="0" borderId="38" xfId="1" applyFont="1" applyBorder="1"/>
    <xf numFmtId="0" fontId="13" fillId="0" borderId="3" xfId="1" applyFont="1" applyBorder="1"/>
    <xf numFmtId="0" fontId="7" fillId="7" borderId="39" xfId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2" borderId="0" xfId="1" applyFont="1" applyFill="1" applyAlignment="1">
      <alignment vertical="center"/>
    </xf>
    <xf numFmtId="0" fontId="6" fillId="0" borderId="6" xfId="1" applyFont="1" applyBorder="1" applyAlignment="1">
      <alignment vertic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6" xfId="1" applyFont="1" applyBorder="1"/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6" xfId="1" applyFont="1" applyBorder="1" applyAlignment="1">
      <alignment horizontal="center" vertical="center"/>
    </xf>
    <xf numFmtId="0" fontId="13" fillId="0" borderId="24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/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3" fillId="0" borderId="23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3" fillId="0" borderId="26" xfId="1" applyFont="1" applyBorder="1"/>
    <xf numFmtId="0" fontId="13" fillId="0" borderId="27" xfId="1" applyFont="1" applyBorder="1"/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3" fillId="0" borderId="20" xfId="1" applyFont="1" applyBorder="1"/>
    <xf numFmtId="0" fontId="6" fillId="0" borderId="0" xfId="1" applyFont="1"/>
    <xf numFmtId="0" fontId="13" fillId="0" borderId="28" xfId="1" applyFont="1" applyBorder="1"/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13" fillId="0" borderId="29" xfId="1" applyFont="1" applyBorder="1"/>
    <xf numFmtId="0" fontId="13" fillId="0" borderId="30" xfId="1" applyFont="1" applyBorder="1"/>
    <xf numFmtId="0" fontId="13" fillId="0" borderId="15" xfId="1" applyFont="1" applyBorder="1"/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56D93633-F4BE-450A-95BD-0742DB0FF840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3494F982-8794-4C55-AE98-72E7D8F0D710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9B6E7DD8-6012-465C-ADBC-1EBA1B6D1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9D64054E-6305-4BCE-A7EE-5B80A7183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80BA-BAB9-40D7-A1F4-D1DF5BE5FCC1}">
  <sheetPr>
    <pageSetUpPr fitToPage="1"/>
  </sheetPr>
  <dimension ref="A1:AO59"/>
  <sheetViews>
    <sheetView zoomScale="85" zoomScaleNormal="85" zoomScalePageLayoutView="57" workbookViewId="0">
      <selection activeCell="B14" sqref="B14:E14"/>
    </sheetView>
  </sheetViews>
  <sheetFormatPr defaultColWidth="9.09765625" defaultRowHeight="17.399999999999999"/>
  <cols>
    <col min="1" max="1" width="9.09765625" style="39"/>
    <col min="2" max="2" width="11.19921875" style="39" bestFit="1" customWidth="1"/>
    <col min="3" max="3" width="1" style="39" customWidth="1"/>
    <col min="4" max="4" width="4.09765625" style="39" customWidth="1"/>
    <col min="5" max="5" width="35.796875" style="39" customWidth="1"/>
    <col min="6" max="6" width="3" style="39" hidden="1" customWidth="1"/>
    <col min="7" max="7" width="6.8984375" style="39" customWidth="1"/>
    <col min="8" max="8" width="14.19921875" style="39" bestFit="1" customWidth="1"/>
    <col min="9" max="9" width="1" style="39" customWidth="1"/>
    <col min="10" max="10" width="16.09765625" style="39" customWidth="1"/>
    <col min="11" max="11" width="9.765625E-2" style="39" customWidth="1"/>
    <col min="12" max="12" width="13.09765625" style="39" customWidth="1"/>
    <col min="13" max="13" width="1" style="134" customWidth="1"/>
    <col min="14" max="14" width="25.19921875" style="39" customWidth="1"/>
    <col min="15" max="15" width="7" style="39" customWidth="1"/>
    <col min="16" max="16" width="1" style="39" customWidth="1"/>
    <col min="17" max="17" width="9.09765625" style="39"/>
    <col min="18" max="18" width="3.69921875" style="39" customWidth="1"/>
    <col min="19" max="16384" width="9.09765625" style="39"/>
  </cols>
  <sheetData>
    <row r="1" spans="1:41" ht="21.75" customHeight="1">
      <c r="A1" s="37"/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</row>
    <row r="2" spans="1:4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</row>
    <row r="3" spans="1:41" ht="15" customHeight="1">
      <c r="A3" s="37"/>
      <c r="B3" s="37"/>
      <c r="C3" s="37"/>
      <c r="D3" s="37"/>
      <c r="E3" s="37"/>
      <c r="F3" s="37"/>
      <c r="G3" s="37"/>
      <c r="H3" s="40"/>
      <c r="I3" s="40"/>
      <c r="J3" s="40"/>
      <c r="K3" s="40"/>
      <c r="L3" s="37"/>
      <c r="M3" s="41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</row>
    <row r="4" spans="1:41" ht="16.5" customHeight="1">
      <c r="A4" s="42"/>
      <c r="B4" s="42"/>
      <c r="C4" s="42"/>
      <c r="D4" s="42"/>
      <c r="E4" s="42"/>
      <c r="F4" s="37"/>
      <c r="G4" s="43"/>
      <c r="H4" s="43"/>
      <c r="I4" s="43"/>
      <c r="J4" s="43"/>
      <c r="K4" s="43"/>
      <c r="L4" s="43"/>
      <c r="M4" s="44"/>
      <c r="N4" s="43"/>
      <c r="O4" s="43"/>
      <c r="P4" s="43"/>
      <c r="Q4" s="43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</row>
    <row r="5" spans="1:41" ht="21" customHeight="1" thickBot="1">
      <c r="A5" s="42"/>
      <c r="B5" s="45"/>
      <c r="C5" s="45"/>
      <c r="D5" s="45"/>
      <c r="E5" s="45"/>
      <c r="F5" s="41"/>
      <c r="G5" s="44"/>
      <c r="H5" s="46" t="s">
        <v>1</v>
      </c>
      <c r="I5" s="46"/>
      <c r="J5" s="47"/>
      <c r="K5" s="47"/>
      <c r="L5" s="47"/>
      <c r="M5" s="46"/>
      <c r="N5" s="47"/>
      <c r="O5" s="47"/>
      <c r="P5" s="47"/>
      <c r="Q5" s="4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27" customHeight="1" thickTop="1">
      <c r="B6" s="48" t="s">
        <v>2</v>
      </c>
      <c r="C6" s="49"/>
      <c r="D6" s="50">
        <v>26030901</v>
      </c>
      <c r="E6" s="50"/>
      <c r="F6" s="50"/>
      <c r="G6" s="51"/>
      <c r="H6" s="52" t="s">
        <v>3</v>
      </c>
      <c r="I6" s="53"/>
      <c r="J6" s="54" t="s">
        <v>4</v>
      </c>
      <c r="K6" s="54"/>
      <c r="L6" s="52" t="s">
        <v>5</v>
      </c>
      <c r="M6" s="53"/>
      <c r="N6" s="55" t="s">
        <v>6</v>
      </c>
      <c r="O6" s="52" t="s">
        <v>7</v>
      </c>
      <c r="P6" s="53"/>
      <c r="Q6" s="54" t="s">
        <v>8</v>
      </c>
      <c r="R6" s="54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</row>
    <row r="7" spans="1:41" ht="26.25" customHeight="1">
      <c r="A7" s="42"/>
      <c r="B7" s="56" t="s">
        <v>9</v>
      </c>
      <c r="C7" s="57"/>
      <c r="D7" s="58">
        <v>46090</v>
      </c>
      <c r="E7" s="58"/>
      <c r="F7" s="59"/>
      <c r="G7" s="51"/>
      <c r="H7" s="60" t="s">
        <v>10</v>
      </c>
      <c r="I7" s="61"/>
      <c r="J7" s="62" t="s">
        <v>11</v>
      </c>
      <c r="K7" s="62"/>
      <c r="L7" s="60" t="s">
        <v>12</v>
      </c>
      <c r="M7" s="61"/>
      <c r="N7" s="63" t="s">
        <v>13</v>
      </c>
      <c r="O7" s="63"/>
      <c r="P7" s="63"/>
      <c r="Q7" s="63"/>
      <c r="R7" s="63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</row>
    <row r="8" spans="1:41" ht="26.25" customHeight="1">
      <c r="A8" s="42"/>
      <c r="B8" s="56" t="s">
        <v>14</v>
      </c>
      <c r="C8" s="57"/>
      <c r="D8" s="64" t="s">
        <v>60</v>
      </c>
      <c r="E8" s="65"/>
      <c r="F8" s="66"/>
      <c r="G8" s="51"/>
      <c r="H8" s="60" t="s">
        <v>15</v>
      </c>
      <c r="I8" s="61"/>
      <c r="J8" s="62" t="s">
        <v>67</v>
      </c>
      <c r="K8" s="67"/>
      <c r="L8" s="60" t="s">
        <v>16</v>
      </c>
      <c r="M8" s="61"/>
      <c r="N8" s="63" t="s">
        <v>17</v>
      </c>
      <c r="O8" s="63"/>
      <c r="P8" s="63"/>
      <c r="Q8" s="63"/>
      <c r="R8" s="63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</row>
    <row r="9" spans="1:41" ht="27.75" customHeight="1">
      <c r="A9" s="42"/>
      <c r="B9" s="68" t="s">
        <v>18</v>
      </c>
      <c r="C9" s="57"/>
      <c r="D9" s="69" t="s">
        <v>19</v>
      </c>
      <c r="E9" s="69"/>
      <c r="F9" s="69"/>
      <c r="G9" s="51"/>
      <c r="H9" s="70" t="s">
        <v>20</v>
      </c>
      <c r="I9" s="71"/>
      <c r="J9" s="72" t="s">
        <v>68</v>
      </c>
      <c r="K9" s="73"/>
      <c r="L9" s="73"/>
      <c r="M9" s="73"/>
      <c r="N9" s="73"/>
      <c r="O9" s="73"/>
      <c r="P9" s="73"/>
      <c r="Q9" s="73"/>
      <c r="R9" s="73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</row>
    <row r="10" spans="1:41" ht="18" thickBot="1">
      <c r="A10" s="42"/>
      <c r="B10" s="74"/>
      <c r="C10" s="74"/>
      <c r="D10" s="74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</row>
    <row r="11" spans="1:41" ht="50.25" customHeight="1" thickTop="1">
      <c r="A11" s="42"/>
      <c r="B11" s="76" t="s">
        <v>21</v>
      </c>
      <c r="C11" s="76"/>
      <c r="D11" s="76"/>
      <c r="E11" s="77" t="str">
        <f>"일금 "&amp;NUMBERSTRING(K18,1)&amp;" 원정"&amp;TEXT(K18,"(₩#,###)")</f>
        <v>일금 삼백구십만 원정(₩3,900,000)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</row>
    <row r="12" spans="1:41" ht="18" thickBot="1">
      <c r="A12" s="37"/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</row>
    <row r="13" spans="1:41" ht="29.25" customHeight="1" thickTop="1">
      <c r="A13" s="37"/>
      <c r="B13" s="80" t="s">
        <v>22</v>
      </c>
      <c r="C13" s="81"/>
      <c r="D13" s="81"/>
      <c r="E13" s="82"/>
      <c r="F13" s="83" t="s">
        <v>23</v>
      </c>
      <c r="G13" s="82"/>
      <c r="H13" s="84" t="s">
        <v>24</v>
      </c>
      <c r="I13" s="85" t="s">
        <v>25</v>
      </c>
      <c r="J13" s="86"/>
      <c r="K13" s="87" t="s">
        <v>26</v>
      </c>
      <c r="L13" s="87"/>
      <c r="M13" s="87"/>
      <c r="N13" s="88"/>
      <c r="O13" s="87" t="s">
        <v>27</v>
      </c>
      <c r="P13" s="87"/>
      <c r="Q13" s="87"/>
      <c r="R13" s="87"/>
      <c r="S13" s="89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</row>
    <row r="14" spans="1:41" ht="28.5" customHeight="1">
      <c r="A14" s="37"/>
      <c r="B14" s="31" t="str">
        <f>Sheet2!C3</f>
        <v>옥상 이중복합방수 3.8mm (제 1안)</v>
      </c>
      <c r="C14" s="29"/>
      <c r="D14" s="29"/>
      <c r="E14" s="30"/>
      <c r="F14" s="90" t="s">
        <v>28</v>
      </c>
      <c r="G14" s="91"/>
      <c r="H14" s="92">
        <v>1</v>
      </c>
      <c r="I14" s="93"/>
      <c r="J14" s="94"/>
      <c r="K14" s="32">
        <f>Sheet2!M21</f>
        <v>3945800</v>
      </c>
      <c r="L14" s="29"/>
      <c r="M14" s="29"/>
      <c r="N14" s="30"/>
      <c r="O14" s="95"/>
      <c r="P14" s="96"/>
      <c r="Q14" s="96"/>
      <c r="R14" s="97"/>
      <c r="S14" s="89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</row>
    <row r="15" spans="1:41" ht="25.5" customHeight="1">
      <c r="A15" s="37"/>
      <c r="B15" s="98"/>
      <c r="C15" s="99"/>
      <c r="D15" s="99"/>
      <c r="E15" s="100"/>
      <c r="F15" s="101"/>
      <c r="G15" s="101"/>
      <c r="H15" s="102"/>
      <c r="I15" s="103"/>
      <c r="J15" s="101"/>
      <c r="K15" s="104"/>
      <c r="L15" s="105"/>
      <c r="M15" s="105"/>
      <c r="N15" s="91"/>
      <c r="O15" s="106"/>
      <c r="P15" s="107"/>
      <c r="Q15" s="107"/>
      <c r="R15" s="108"/>
      <c r="S15" s="89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</row>
    <row r="16" spans="1:41" ht="25.5" customHeight="1">
      <c r="A16" s="37"/>
      <c r="B16" s="106"/>
      <c r="C16" s="107"/>
      <c r="D16" s="107"/>
      <c r="E16" s="108"/>
      <c r="F16" s="106"/>
      <c r="G16" s="108"/>
      <c r="H16" s="102"/>
      <c r="I16" s="106"/>
      <c r="J16" s="108"/>
      <c r="K16" s="104"/>
      <c r="L16" s="105"/>
      <c r="M16" s="105"/>
      <c r="N16" s="91"/>
      <c r="O16" s="106"/>
      <c r="P16" s="107"/>
      <c r="Q16" s="107"/>
      <c r="R16" s="108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</row>
    <row r="17" spans="1:41" ht="25.5" customHeight="1">
      <c r="A17" s="37"/>
      <c r="B17" s="106"/>
      <c r="C17" s="107"/>
      <c r="D17" s="107"/>
      <c r="E17" s="109"/>
      <c r="F17" s="101"/>
      <c r="G17" s="101"/>
      <c r="H17" s="102"/>
      <c r="I17" s="103"/>
      <c r="J17" s="101"/>
      <c r="K17" s="104"/>
      <c r="L17" s="105"/>
      <c r="M17" s="105"/>
      <c r="N17" s="91"/>
      <c r="O17" s="106"/>
      <c r="P17" s="107"/>
      <c r="Q17" s="107"/>
      <c r="R17" s="108"/>
      <c r="S17" s="89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</row>
    <row r="18" spans="1:41" ht="27" customHeight="1">
      <c r="A18" s="37"/>
      <c r="B18" s="110" t="s">
        <v>29</v>
      </c>
      <c r="C18" s="111"/>
      <c r="D18" s="111"/>
      <c r="E18" s="112"/>
      <c r="F18" s="113"/>
      <c r="G18" s="114"/>
      <c r="H18" s="115"/>
      <c r="I18" s="110"/>
      <c r="J18" s="111"/>
      <c r="K18" s="33">
        <f>Sheet2!M22</f>
        <v>3900000</v>
      </c>
      <c r="L18" s="29"/>
      <c r="M18" s="29"/>
      <c r="N18" s="30"/>
      <c r="O18" s="110" t="s">
        <v>38</v>
      </c>
      <c r="P18" s="111"/>
      <c r="Q18" s="111"/>
      <c r="R18" s="111"/>
      <c r="S18" s="89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</row>
    <row r="19" spans="1:41" ht="26.25" customHeight="1">
      <c r="A19" s="37"/>
      <c r="B19" s="116" t="s">
        <v>61</v>
      </c>
      <c r="C19" s="117"/>
      <c r="D19" s="118" t="s">
        <v>62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</row>
    <row r="20" spans="1:41" ht="19.5" customHeight="1">
      <c r="A20" s="37"/>
      <c r="B20" s="121"/>
      <c r="C20" s="122"/>
      <c r="D20" s="123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5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</row>
    <row r="21" spans="1:41" ht="21" customHeight="1">
      <c r="A21" s="37"/>
      <c r="B21" s="121"/>
      <c r="C21" s="122"/>
      <c r="D21" s="123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5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</row>
    <row r="22" spans="1:41">
      <c r="A22" s="37"/>
      <c r="B22" s="126"/>
      <c r="C22" s="127"/>
      <c r="D22" s="128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3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</row>
    <row r="23" spans="1:41">
      <c r="A23" s="37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</row>
    <row r="24" spans="1:41">
      <c r="A24" s="37"/>
      <c r="B24" s="132"/>
      <c r="C24" s="132"/>
      <c r="D24" s="132"/>
      <c r="E24" s="133" t="s">
        <v>69</v>
      </c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</row>
    <row r="25" spans="1:41">
      <c r="A25" s="37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</row>
    <row r="26" spans="1:41">
      <c r="A26" s="37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</row>
    <row r="27" spans="1:41">
      <c r="A27" s="37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</row>
    <row r="28" spans="1:41">
      <c r="A28" s="37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</row>
    <row r="29" spans="1:41">
      <c r="A29" s="37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</row>
    <row r="30" spans="1:41">
      <c r="A30" s="37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</row>
    <row r="31" spans="1:41">
      <c r="A31" s="37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</row>
    <row r="32" spans="1:41">
      <c r="A32" s="37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</row>
    <row r="33" spans="1:41">
      <c r="A33" s="37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</row>
    <row r="34" spans="1:41">
      <c r="A34" s="37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</row>
    <row r="35" spans="1:4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41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</row>
    <row r="36" spans="1:4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41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</row>
    <row r="37" spans="1:4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41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</row>
    <row r="38" spans="1:4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41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</row>
    <row r="39" spans="1:4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41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</row>
    <row r="40" spans="1:4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41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</row>
    <row r="41" spans="1: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41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</row>
    <row r="42" spans="1:4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41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</row>
    <row r="43" spans="1:4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41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</row>
    <row r="44" spans="1:4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41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</row>
    <row r="45" spans="1:4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41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</row>
    <row r="46" spans="1:4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41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</row>
    <row r="47" spans="1:4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41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</row>
    <row r="48" spans="1:4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41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</row>
    <row r="49" spans="1:4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41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</row>
    <row r="50" spans="1:4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41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</row>
    <row r="51" spans="1:4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41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</row>
    <row r="52" spans="1:4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41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</row>
    <row r="53" spans="1:4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41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</row>
    <row r="54" spans="1:4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41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</row>
    <row r="55" spans="1:4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41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</row>
    <row r="56" spans="1:4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41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</row>
    <row r="57" spans="1:4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41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</row>
    <row r="58" spans="1:4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41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</row>
    <row r="59" spans="1:4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41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B5" sqref="B5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135" t="s">
        <v>65</v>
      </c>
      <c r="C3" s="34" t="s">
        <v>66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136" t="s">
        <v>22</v>
      </c>
      <c r="C5" s="138" t="s">
        <v>23</v>
      </c>
      <c r="D5" s="138" t="s">
        <v>30</v>
      </c>
      <c r="E5" s="138" t="s">
        <v>24</v>
      </c>
      <c r="F5" s="140" t="s">
        <v>31</v>
      </c>
      <c r="G5" s="142"/>
      <c r="H5" s="143" t="s">
        <v>32</v>
      </c>
      <c r="I5" s="144"/>
      <c r="J5" s="143" t="s">
        <v>33</v>
      </c>
      <c r="K5" s="144"/>
      <c r="L5" s="140" t="s">
        <v>37</v>
      </c>
      <c r="M5" s="142"/>
      <c r="N5" s="146" t="s">
        <v>27</v>
      </c>
    </row>
    <row r="6" spans="1:18" ht="31.35" customHeight="1">
      <c r="A6" s="1"/>
      <c r="B6" s="137"/>
      <c r="C6" s="139"/>
      <c r="D6" s="139"/>
      <c r="E6" s="139"/>
      <c r="F6" s="141" t="s">
        <v>25</v>
      </c>
      <c r="G6" s="139" t="s">
        <v>26</v>
      </c>
      <c r="H6" s="141" t="s">
        <v>25</v>
      </c>
      <c r="I6" s="141" t="s">
        <v>26</v>
      </c>
      <c r="J6" s="141" t="s">
        <v>25</v>
      </c>
      <c r="K6" s="141" t="s">
        <v>26</v>
      </c>
      <c r="L6" s="145" t="s">
        <v>25</v>
      </c>
      <c r="M6" s="141" t="s">
        <v>26</v>
      </c>
      <c r="N6" s="147"/>
      <c r="O6" s="1"/>
      <c r="P6" s="1"/>
      <c r="Q6" s="1"/>
      <c r="R6" s="1"/>
    </row>
    <row r="7" spans="1:18" ht="30" customHeight="1">
      <c r="A7" s="1"/>
      <c r="B7" s="15" t="s">
        <v>39</v>
      </c>
      <c r="C7" s="16"/>
      <c r="D7" s="11" t="s">
        <v>35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1"/>
    </row>
    <row r="8" spans="1:18" ht="38.4">
      <c r="A8" s="1"/>
      <c r="B8" s="27" t="s">
        <v>63</v>
      </c>
      <c r="C8" s="16"/>
      <c r="D8" s="28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>SUM(K8+I8+G8)</f>
        <v>0</v>
      </c>
      <c r="N8" s="11"/>
    </row>
    <row r="9" spans="1:18" ht="30" customHeight="1">
      <c r="A9" s="1"/>
      <c r="B9" s="17" t="s">
        <v>40</v>
      </c>
      <c r="C9" s="6"/>
      <c r="D9" s="11" t="s">
        <v>35</v>
      </c>
      <c r="E9" s="3">
        <v>100</v>
      </c>
      <c r="F9" s="4">
        <v>700</v>
      </c>
      <c r="G9" s="3">
        <f t="shared" ref="G9:G14" si="0">E9*F9</f>
        <v>70000</v>
      </c>
      <c r="H9" s="4">
        <v>1300</v>
      </c>
      <c r="I9" s="3">
        <f t="shared" ref="I9:I14" si="1">H9*E9</f>
        <v>130000</v>
      </c>
      <c r="J9" s="4"/>
      <c r="K9" s="4"/>
      <c r="L9" s="5">
        <f t="shared" ref="L9:L14" si="2">J9+H9+F9</f>
        <v>2000</v>
      </c>
      <c r="M9" s="3">
        <f t="shared" ref="M9:M12" si="3">SUM(K9+I9+G9)</f>
        <v>200000</v>
      </c>
      <c r="N9" s="11"/>
    </row>
    <row r="10" spans="1:18" ht="30" customHeight="1">
      <c r="A10" s="1"/>
      <c r="B10" s="18" t="s">
        <v>41</v>
      </c>
      <c r="C10" s="6" t="s">
        <v>36</v>
      </c>
      <c r="D10" s="11" t="s">
        <v>35</v>
      </c>
      <c r="E10" s="3">
        <v>100</v>
      </c>
      <c r="F10" s="4">
        <v>9000</v>
      </c>
      <c r="G10" s="3">
        <f t="shared" si="0"/>
        <v>900000</v>
      </c>
      <c r="H10" s="4">
        <v>5500</v>
      </c>
      <c r="I10" s="3">
        <f t="shared" si="1"/>
        <v>550000</v>
      </c>
      <c r="J10" s="4">
        <v>500</v>
      </c>
      <c r="K10" s="3">
        <f>J10*E10</f>
        <v>50000</v>
      </c>
      <c r="L10" s="5">
        <f t="shared" si="2"/>
        <v>15000</v>
      </c>
      <c r="M10" s="3">
        <f t="shared" si="3"/>
        <v>1500000</v>
      </c>
      <c r="N10" s="11"/>
    </row>
    <row r="11" spans="1:18" ht="38.4">
      <c r="A11" s="1"/>
      <c r="B11" s="18" t="s">
        <v>42</v>
      </c>
      <c r="C11" s="6"/>
      <c r="D11" s="11" t="s">
        <v>35</v>
      </c>
      <c r="E11" s="3">
        <v>100</v>
      </c>
      <c r="F11" s="4">
        <v>1200</v>
      </c>
      <c r="G11" s="3">
        <f t="shared" si="0"/>
        <v>120000</v>
      </c>
      <c r="H11" s="4">
        <v>1400</v>
      </c>
      <c r="I11" s="3">
        <f t="shared" si="1"/>
        <v>140000</v>
      </c>
      <c r="J11" s="4"/>
      <c r="K11" s="4"/>
      <c r="L11" s="5">
        <f t="shared" si="2"/>
        <v>2600</v>
      </c>
      <c r="M11" s="3">
        <f t="shared" si="3"/>
        <v>260000</v>
      </c>
      <c r="N11" s="11"/>
    </row>
    <row r="12" spans="1:18" ht="30" customHeight="1">
      <c r="A12" s="1"/>
      <c r="B12" s="17" t="s">
        <v>43</v>
      </c>
      <c r="C12" s="6" t="s">
        <v>44</v>
      </c>
      <c r="D12" s="11" t="s">
        <v>35</v>
      </c>
      <c r="E12" s="3">
        <v>100</v>
      </c>
      <c r="F12" s="4">
        <v>6000</v>
      </c>
      <c r="G12" s="3">
        <f t="shared" si="0"/>
        <v>600000</v>
      </c>
      <c r="H12" s="4">
        <v>4500</v>
      </c>
      <c r="I12" s="3">
        <f t="shared" si="1"/>
        <v>450000</v>
      </c>
      <c r="J12" s="4">
        <v>400</v>
      </c>
      <c r="K12" s="3">
        <f>J12*E12</f>
        <v>40000</v>
      </c>
      <c r="L12" s="5">
        <f t="shared" si="2"/>
        <v>10900</v>
      </c>
      <c r="M12" s="3">
        <f t="shared" si="3"/>
        <v>1090000</v>
      </c>
      <c r="N12" s="11"/>
    </row>
    <row r="13" spans="1:18" ht="30" customHeight="1">
      <c r="B13" s="17" t="s">
        <v>45</v>
      </c>
      <c r="C13" s="6" t="s">
        <v>46</v>
      </c>
      <c r="D13" s="11" t="s">
        <v>35</v>
      </c>
      <c r="E13" s="3"/>
      <c r="F13" s="4">
        <v>4500</v>
      </c>
      <c r="G13" s="3">
        <f t="shared" si="0"/>
        <v>0</v>
      </c>
      <c r="H13" s="4">
        <v>4500</v>
      </c>
      <c r="I13" s="3">
        <f t="shared" si="1"/>
        <v>0</v>
      </c>
      <c r="J13" s="4">
        <v>500</v>
      </c>
      <c r="K13" s="3">
        <f>J13*E13</f>
        <v>0</v>
      </c>
      <c r="L13" s="5">
        <f t="shared" si="2"/>
        <v>9500</v>
      </c>
      <c r="M13" s="3">
        <f>SUM(K13+I13+G13)</f>
        <v>0</v>
      </c>
      <c r="N13" s="11"/>
    </row>
    <row r="14" spans="1:18" ht="30" customHeight="1">
      <c r="B14" s="17" t="s">
        <v>47</v>
      </c>
      <c r="C14" s="6" t="s">
        <v>48</v>
      </c>
      <c r="D14" s="11" t="s">
        <v>35</v>
      </c>
      <c r="E14" s="3">
        <v>100</v>
      </c>
      <c r="F14" s="4">
        <v>2000</v>
      </c>
      <c r="G14" s="3">
        <f t="shared" si="0"/>
        <v>200000</v>
      </c>
      <c r="H14" s="4">
        <v>1500</v>
      </c>
      <c r="I14" s="3">
        <f t="shared" si="1"/>
        <v>150000</v>
      </c>
      <c r="J14" s="4"/>
      <c r="K14" s="4"/>
      <c r="L14" s="5">
        <f t="shared" si="2"/>
        <v>3500</v>
      </c>
      <c r="M14" s="3">
        <f t="shared" ref="M14" si="4">SUM(K14+I14+G14)</f>
        <v>350000</v>
      </c>
      <c r="N14" s="11"/>
    </row>
    <row r="15" spans="1:18" ht="30" customHeight="1">
      <c r="B15" s="17" t="s">
        <v>49</v>
      </c>
      <c r="C15" s="6"/>
      <c r="D15" s="11" t="s">
        <v>50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>SUM(K15+I15+G15)</f>
        <v>120000</v>
      </c>
      <c r="N15" s="11"/>
    </row>
    <row r="16" spans="1:18" ht="30" customHeight="1">
      <c r="B16" s="17" t="s">
        <v>51</v>
      </c>
      <c r="C16" s="6"/>
      <c r="D16" s="11" t="s">
        <v>52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>SUM(K16+I16+G16)</f>
        <v>0</v>
      </c>
      <c r="N16" s="11"/>
    </row>
    <row r="17" spans="2:14" ht="30" customHeight="1">
      <c r="B17" s="17" t="s">
        <v>53</v>
      </c>
      <c r="C17" s="6"/>
      <c r="D17" s="11" t="s">
        <v>52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>SUM(K17+I17+G17)</f>
        <v>0</v>
      </c>
      <c r="N17" s="11"/>
    </row>
    <row r="18" spans="2:14" ht="30" customHeight="1">
      <c r="B18" s="19" t="s">
        <v>54</v>
      </c>
      <c r="C18" s="7"/>
      <c r="D18" s="8"/>
      <c r="E18" s="2"/>
      <c r="F18" s="2"/>
      <c r="G18" s="9">
        <f>SUM(G7:G17)</f>
        <v>1920000</v>
      </c>
      <c r="H18" s="20"/>
      <c r="I18" s="9">
        <f>SUM(I7:I17)</f>
        <v>1490000</v>
      </c>
      <c r="J18" s="2"/>
      <c r="K18" s="9">
        <f>SUM(K7:K17)</f>
        <v>210000</v>
      </c>
      <c r="L18" s="2"/>
      <c r="M18" s="2">
        <f>SUM(M7:M17)</f>
        <v>3620000</v>
      </c>
      <c r="N18" s="10"/>
    </row>
    <row r="19" spans="2:14" ht="38.4">
      <c r="B19" s="21" t="s">
        <v>55</v>
      </c>
      <c r="C19" s="6"/>
      <c r="D19" s="11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108600</v>
      </c>
      <c r="N19" s="11"/>
    </row>
    <row r="20" spans="2:14" ht="30" customHeight="1">
      <c r="B20" s="14" t="s">
        <v>56</v>
      </c>
      <c r="C20" s="6"/>
      <c r="D20" s="11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217200</v>
      </c>
      <c r="N20" s="11"/>
    </row>
    <row r="21" spans="2:14" ht="30" customHeight="1">
      <c r="B21" s="22" t="s">
        <v>57</v>
      </c>
      <c r="C21" s="23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3945800</v>
      </c>
      <c r="N21" s="10"/>
    </row>
    <row r="22" spans="2:14" ht="30" customHeight="1">
      <c r="B22" s="24" t="s">
        <v>58</v>
      </c>
      <c r="C22" s="25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3900000</v>
      </c>
      <c r="N22" s="26" t="s">
        <v>59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2026-03-09T05:14:07Z</dcterms:modified>
  <cp:category/>
  <cp:contentStatus/>
</cp:coreProperties>
</file>