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214DFAEF-6B28-4AE4-A277-1BDFFE87B36C}" xr6:coauthVersionLast="47" xr6:coauthVersionMax="47" xr10:uidLastSave="{00000000-0000-0000-0000-000000000000}"/>
  <bookViews>
    <workbookView xWindow="0" yWindow="2370" windowWidth="21600" windowHeight="11295" firstSheet="1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K14" i="5"/>
  <c r="E11" i="5"/>
  <c r="L12" i="3"/>
  <c r="K12" i="3"/>
  <c r="I12" i="3"/>
  <c r="G12" i="3"/>
  <c r="L13" i="3"/>
  <c r="I13" i="3"/>
  <c r="G13" i="3"/>
  <c r="G10" i="3"/>
  <c r="I10" i="3"/>
  <c r="K10" i="3"/>
  <c r="L10" i="3"/>
  <c r="G11" i="3"/>
  <c r="I11" i="3"/>
  <c r="K11" i="3"/>
  <c r="L11" i="3"/>
  <c r="L9" i="3"/>
  <c r="I9" i="3"/>
  <c r="G9" i="3"/>
  <c r="M10" i="3" l="1"/>
  <c r="M9" i="3"/>
  <c r="M11" i="3"/>
  <c r="M13" i="3"/>
  <c r="M12" i="3"/>
  <c r="L16" i="3"/>
  <c r="L15" i="3"/>
  <c r="L14" i="3"/>
  <c r="L8" i="3"/>
  <c r="M16" i="3" l="1"/>
  <c r="M15" i="3"/>
  <c r="M14" i="3"/>
  <c r="M8" i="3"/>
  <c r="L7" i="3" l="1"/>
  <c r="I7" i="3"/>
  <c r="G7" i="3"/>
  <c r="M7" i="3" l="1"/>
  <c r="G18" i="3" l="1"/>
  <c r="I18" i="3"/>
  <c r="K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<sst xmlns="http://schemas.openxmlformats.org/spreadsheetml/2006/main" count="90" uniqueCount="71">
  <si>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</si>
  <si>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</si>
  <si>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</si>
  <si>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</si>
  <si>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</si>
  <si>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</si>
  <si>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</si>
  <si>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</si>
  <si>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</si>
  <si>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</si>
  <si>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</si>
  <si>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</si>
  <si>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</si>
  <si>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</si>
  <si>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</si>
  <si>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</si>
  <si>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t xml:space="preserve">  전화번호</t>
  </si>
  <si>
    <t>010.5379.3587</t>
    <phoneticPr fontId="5" type="noConversion"/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</si>
  <si>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</si>
  <si>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</si>
  <si>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</si>
  <si>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</si>
  <si>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</si>
  <si>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</si>
  <si>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</si>
  <si>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</si>
  <si>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</si>
  <si>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</si>
  <si>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</si>
  <si>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</si>
  <si>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</si>
  <si>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</si>
  <si>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</si>
  <si>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</si>
  <si>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</si>
  <si>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</rPr>
      <t xml:space="preserve">)
</t>
    </r>
    <r>
      <rPr>
        <sz val="12"/>
        <color rgb="FF000000"/>
        <rFont val="Arial"/>
      </rPr>
      <t xml:space="preserve">  2. </t>
    </r>
    <r>
      <rPr>
        <sz val="12"/>
        <color rgb="FF000000"/>
        <rFont val="맑은 고딕"/>
        <family val="3"/>
        <charset val="129"/>
      </rPr>
      <t>견적서</t>
    </r>
    <r>
      <rPr>
        <sz val="12"/>
        <color rgb="FF000000"/>
        <rFont val="Arial"/>
      </rPr>
      <t xml:space="preserve"> </t>
    </r>
    <r>
      <rPr>
        <sz val="12"/>
        <color rgb="FF000000"/>
        <rFont val="맑은 고딕"/>
        <family val="3"/>
        <charset val="129"/>
      </rPr>
      <t>제출</t>
    </r>
    <r>
      <rPr>
        <sz val="12"/>
        <color rgb="FF000000"/>
        <rFont val="Arial"/>
      </rPr>
      <t xml:space="preserve"> 30</t>
    </r>
    <r>
      <rPr>
        <sz val="12"/>
        <color rgb="FF000000"/>
        <rFont val="맑은 고딕"/>
        <family val="3"/>
        <charset val="129"/>
      </rPr>
      <t>일</t>
    </r>
    <r>
      <rPr>
        <sz val="12"/>
        <color rgb="FF000000"/>
        <rFont val="Arial"/>
      </rPr>
      <t xml:space="preserve"> </t>
    </r>
    <r>
      <rPr>
        <sz val="12"/>
        <color rgb="FF000000"/>
        <rFont val="맑은 고딕"/>
        <family val="3"/>
        <charset val="129"/>
      </rPr>
      <t xml:space="preserve">유효
</t>
    </r>
    <r>
      <rPr>
        <sz val="12"/>
        <color rgb="FF000000"/>
        <rFont val="Arial"/>
      </rPr>
      <t xml:space="preserve">       * </t>
    </r>
    <r>
      <rPr>
        <sz val="12"/>
        <color rgb="FF000000"/>
        <rFont val="맑은 고딕"/>
        <family val="3"/>
        <charset val="129"/>
      </rPr>
      <t>부가가치세별도</t>
    </r>
  </si>
  <si>
    <t>Brand Collaborations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</si>
  <si>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</si>
  <si>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우레탄방수</t>
    </r>
    <r>
      <rPr>
        <sz val="12"/>
        <color theme="1"/>
        <rFont val="Arial"/>
        <family val="2"/>
      </rPr>
      <t xml:space="preserve"> 3mm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</t>
    </r>
    <r>
      <rPr>
        <sz val="12"/>
        <color theme="1"/>
        <rFont val="Arial"/>
        <family val="2"/>
        <charset val="129"/>
      </rPr>
      <t xml:space="preserve"> 2</t>
    </r>
    <r>
      <rPr>
        <sz val="12"/>
        <color theme="1"/>
        <rFont val="맑은 고딕"/>
        <family val="2"/>
        <charset val="129"/>
      </rPr>
      <t>안</t>
    </r>
    <r>
      <rPr>
        <sz val="12"/>
        <color theme="1"/>
        <rFont val="Arial"/>
        <family val="2"/>
        <charset val="129"/>
      </rPr>
      <t>)</t>
    </r>
    <phoneticPr fontId="5" type="noConversion"/>
  </si>
  <si>
    <t>단 위</t>
  </si>
  <si>
    <t>재 료 비</t>
  </si>
  <si>
    <t>인 건 비</t>
  </si>
  <si>
    <t>경 비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</si>
  <si>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</si>
  <si>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</si>
  <si>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맑은 고딕"/>
        <family val="2"/>
        <charset val="129"/>
      </rPr>
      <t>그라인더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연삭</t>
    </r>
    <phoneticPr fontId="5" type="noConversion"/>
  </si>
  <si>
    <t>m²</t>
  </si>
  <si>
    <t>바탕조정제
부분미장</t>
    <phoneticPr fontId="5" type="noConversion"/>
  </si>
  <si>
    <t>식</t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</si>
  <si>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</si>
  <si>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</si>
  <si>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1mm</t>
    </r>
    <phoneticPr fontId="5" type="noConversion"/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</si>
  <si>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</si>
  <si>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2mm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</si>
  <si>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</si>
  <si>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</si>
  <si>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</si>
  <si>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</si>
  <si>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</si>
  <si>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</si>
  <si>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</si>
  <si>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</si>
  <si>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</si>
  <si>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</si>
  <si>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</si>
  <si>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t>%</t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</si>
  <si>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</si>
  <si>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</si>
  <si>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</si>
  <si>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</si>
  <si>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맑은 고딕"/>
        <family val="3"/>
        <charset val="129"/>
      </rPr>
      <t>줄눈</t>
    </r>
    <r>
      <rPr>
        <sz val="12"/>
        <color theme="1"/>
        <rFont val="Arial"/>
        <family val="2"/>
      </rPr>
      <t xml:space="preserve">. </t>
    </r>
    <r>
      <rPr>
        <sz val="12"/>
        <color theme="1"/>
        <rFont val="맑은 고딕"/>
        <family val="3"/>
        <charset val="129"/>
      </rPr>
      <t>크랙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맑은 고딕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부착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</si>
</sst>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8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color theme="1"/>
      <name val="맑은 고딕"/>
      <family val="3"/>
      <charset val="129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  <font>
      <b/>
      <sz val="12"/>
      <color rgb="FFFF0000"/>
      <name val="Arial"/>
    </font>
    <font>
      <b/>
      <sz val="12"/>
      <color rgb="FFFF0000"/>
      <name val="맑은 고딕"/>
      <family val="3"/>
      <charset val="129"/>
    </font>
    <font>
      <sz val="12"/>
      <color rgb="FF000000"/>
      <name val="Arial"/>
    </font>
    <font>
      <sz val="12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2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2">
    <xf numFmtId="0" fontId="0" fillId="0" borderId="0"/>
    <xf numFmtId="0" fontId="23" fillId="0" borderId="0"/>
  </cellStyleXfs>
  <cellXfs count="151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0" xfId="1" applyFont="1"/>
    <xf numFmtId="0" fontId="23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5" fillId="7" borderId="33" xfId="1" applyFont="1" applyFill="1" applyBorder="1" applyAlignment="1">
      <alignment vertical="center"/>
    </xf>
    <xf numFmtId="0" fontId="15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7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7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3" fillId="2" borderId="0" xfId="1" applyFill="1"/>
    <xf numFmtId="0" fontId="20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horizontal="center" vertical="center"/>
    </xf>
    <xf numFmtId="0" fontId="7" fillId="7" borderId="61" xfId="0" applyFont="1" applyFill="1" applyBorder="1" applyAlignment="1">
      <alignment horizontal="center" vertical="center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6" fillId="0" borderId="37" xfId="1" applyFont="1" applyBorder="1"/>
    <xf numFmtId="0" fontId="16" fillId="0" borderId="38" xfId="1" applyFont="1" applyBorder="1"/>
    <xf numFmtId="0" fontId="16" fillId="0" borderId="3" xfId="1" applyFont="1" applyBorder="1"/>
    <xf numFmtId="0" fontId="6" fillId="0" borderId="13" xfId="1" applyFont="1" applyBorder="1" applyAlignment="1">
      <alignment vertical="center"/>
    </xf>
    <xf numFmtId="0" fontId="19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7" borderId="4" xfId="1" applyFont="1" applyFill="1" applyBorder="1" applyAlignment="1">
      <alignment horizontal="center" vertical="center" wrapText="1"/>
    </xf>
    <xf numFmtId="176" fontId="18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6" fillId="0" borderId="23" xfId="1" applyFont="1" applyBorder="1"/>
    <xf numFmtId="0" fontId="16" fillId="0" borderId="24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6" fillId="0" borderId="23" xfId="0" applyFont="1" applyBorder="1"/>
    <xf numFmtId="0" fontId="16" fillId="0" borderId="24" xfId="0" applyFont="1" applyBorder="1"/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6" fillId="0" borderId="26" xfId="1" applyFont="1" applyBorder="1"/>
    <xf numFmtId="0" fontId="16" fillId="0" borderId="27" xfId="1" applyFont="1" applyBorder="1"/>
    <xf numFmtId="0" fontId="16" fillId="0" borderId="20" xfId="1" applyFont="1" applyBorder="1"/>
    <xf numFmtId="0" fontId="6" fillId="0" borderId="0" xfId="1" applyFont="1"/>
    <xf numFmtId="0" fontId="16" fillId="0" borderId="28" xfId="1" applyFont="1" applyBorder="1"/>
    <xf numFmtId="0" fontId="16" fillId="0" borderId="29" xfId="1" applyFont="1" applyBorder="1"/>
    <xf numFmtId="0" fontId="16" fillId="0" borderId="30" xfId="1" applyFont="1" applyBorder="1"/>
    <xf numFmtId="0" fontId="16" fillId="0" borderId="15" xfId="1" applyFont="1" applyBorder="1"/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61570FE1-A2B8-4950-B834-A18E8A3A460A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5E77B30E-2C51-4EE2-94FA-A9F40B39527A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CFAECE05-AA8D-462D-A7B1-82B04D1CA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83276</xdr:colOff>
      <xdr:row>0</xdr:row>
      <xdr:rowOff>207917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1DC1C5EB-D648-49CB-B718-8AB3F16FF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" y="20791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610F9-4157-48BF-AE3D-5FC692CB83E4}">
  <sheetPr>
    <pageSetUpPr fitToPage="1"/>
  </sheetPr>
  <dimension ref="A1:AO59"/>
  <sheetViews>
    <sheetView topLeftCell="A13" zoomScale="85" zoomScaleNormal="85" zoomScalePageLayoutView="57" workbookViewId="0">
      <selection activeCell="I17" sqref="I17:J17"/>
    </sheetView>
  </sheetViews>
  <sheetFormatPr defaultColWidth="9.125" defaultRowHeight="16.5"/>
  <cols>
    <col min="1" max="1" width="9.125" style="30"/>
    <col min="2" max="2" width="11.25" style="30" bestFit="1" customWidth="1"/>
    <col min="3" max="3" width="1" style="30" customWidth="1"/>
    <col min="4" max="4" width="4.125" style="30" customWidth="1"/>
    <col min="5" max="5" width="35.75" style="30" customWidth="1"/>
    <col min="6" max="6" width="3" style="30" hidden="1" customWidth="1"/>
    <col min="7" max="7" width="6.875" style="30" customWidth="1"/>
    <col min="8" max="8" width="14.25" style="30" bestFit="1" customWidth="1"/>
    <col min="9" max="9" width="1" style="30" customWidth="1"/>
    <col min="10" max="10" width="16.125" style="30" customWidth="1"/>
    <col min="11" max="11" width="0.125" style="30" customWidth="1"/>
    <col min="12" max="12" width="13.125" style="30" customWidth="1"/>
    <col min="13" max="13" width="1" style="62" customWidth="1"/>
    <col min="14" max="14" width="25.25" style="30" customWidth="1"/>
    <col min="15" max="15" width="7" style="30" customWidth="1"/>
    <col min="16" max="16" width="1" style="30" customWidth="1"/>
    <col min="17" max="17" width="9.125" style="30"/>
    <col min="18" max="18" width="3.75" style="30" customWidth="1"/>
    <col min="19" max="16384" width="9.125" style="30"/>
  </cols>
  <sheetData>
    <row r="1" spans="1:41" ht="21.75" customHeight="1">
      <c r="A1" s="29"/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</row>
    <row r="2" spans="1:41" ht="15" customHeight="1">
      <c r="A2" s="29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</row>
    <row r="3" spans="1:41" ht="15" customHeight="1">
      <c r="A3" s="29"/>
      <c r="B3" s="29"/>
      <c r="C3" s="29"/>
      <c r="D3" s="29"/>
      <c r="E3" s="29"/>
      <c r="F3" s="29"/>
      <c r="G3" s="29"/>
      <c r="H3" s="31"/>
      <c r="I3" s="31"/>
      <c r="J3" s="31"/>
      <c r="K3" s="31"/>
      <c r="L3" s="29"/>
      <c r="M3" s="32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</row>
    <row r="4" spans="1:41" ht="16.5" customHeight="1">
      <c r="A4" s="33"/>
      <c r="B4" s="33"/>
      <c r="C4" s="33"/>
      <c r="D4" s="33"/>
      <c r="E4" s="33"/>
      <c r="F4" s="29"/>
      <c r="G4" s="34"/>
      <c r="H4" s="34"/>
      <c r="I4" s="34"/>
      <c r="J4" s="34"/>
      <c r="K4" s="34"/>
      <c r="L4" s="34"/>
      <c r="M4" s="35"/>
      <c r="N4" s="34"/>
      <c r="O4" s="34"/>
      <c r="P4" s="34"/>
      <c r="Q4" s="34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</row>
    <row r="5" spans="1:41" ht="21" customHeight="1" thickBot="1">
      <c r="A5" s="33"/>
      <c r="B5" s="36"/>
      <c r="C5" s="36"/>
      <c r="D5" s="36"/>
      <c r="E5" s="36"/>
      <c r="F5" s="32"/>
      <c r="G5" s="35"/>
      <c r="H5" s="37" t="s">
        <v>1</v>
      </c>
      <c r="I5" s="37"/>
      <c r="J5" s="38"/>
      <c r="K5" s="38"/>
      <c r="L5" s="38"/>
      <c r="M5" s="37"/>
      <c r="N5" s="38"/>
      <c r="O5" s="38"/>
      <c r="P5" s="38"/>
      <c r="Q5" s="38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</row>
    <row r="6" spans="1:41" ht="27" customHeight="1" thickTop="1">
      <c r="B6" s="39" t="s">
        <v>2</v>
      </c>
      <c r="C6" s="40"/>
      <c r="D6" s="76">
        <v>26030901</v>
      </c>
      <c r="E6" s="76"/>
      <c r="F6" s="76"/>
      <c r="G6" s="41"/>
      <c r="H6" s="42" t="s">
        <v>3</v>
      </c>
      <c r="I6" s="43"/>
      <c r="J6" s="77" t="s">
        <v>4</v>
      </c>
      <c r="K6" s="77"/>
      <c r="L6" s="42" t="s">
        <v>5</v>
      </c>
      <c r="M6" s="43"/>
      <c r="N6" s="44" t="s">
        <v>6</v>
      </c>
      <c r="O6" s="42" t="s">
        <v>7</v>
      </c>
      <c r="P6" s="43"/>
      <c r="Q6" s="77" t="s">
        <v>8</v>
      </c>
      <c r="R6" s="77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</row>
    <row r="7" spans="1:41" ht="26.25" customHeight="1">
      <c r="A7" s="33"/>
      <c r="B7" s="45" t="s">
        <v>9</v>
      </c>
      <c r="C7" s="46"/>
      <c r="D7" s="78">
        <v>46090</v>
      </c>
      <c r="E7" s="78"/>
      <c r="F7" s="79"/>
      <c r="G7" s="41"/>
      <c r="H7" s="47" t="s">
        <v>10</v>
      </c>
      <c r="I7" s="48"/>
      <c r="J7" s="80" t="s">
        <v>11</v>
      </c>
      <c r="K7" s="80"/>
      <c r="L7" s="47" t="s">
        <v>12</v>
      </c>
      <c r="M7" s="48"/>
      <c r="N7" s="81" t="s">
        <v>13</v>
      </c>
      <c r="O7" s="81"/>
      <c r="P7" s="81"/>
      <c r="Q7" s="81"/>
      <c r="R7" s="81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 spans="1:41" ht="26.25" customHeight="1">
      <c r="A8" s="33"/>
      <c r="B8" s="45" t="s">
        <v>14</v>
      </c>
      <c r="C8" s="46"/>
      <c r="D8" s="82" t="s">
        <v>15</v>
      </c>
      <c r="E8" s="83"/>
      <c r="F8" s="84"/>
      <c r="G8" s="41"/>
      <c r="H8" s="47" t="s">
        <v>16</v>
      </c>
      <c r="I8" s="48"/>
      <c r="J8" s="80" t="s">
        <v>17</v>
      </c>
      <c r="K8" s="85"/>
      <c r="L8" s="47" t="s">
        <v>18</v>
      </c>
      <c r="M8" s="48"/>
      <c r="N8" s="81" t="s">
        <v>19</v>
      </c>
      <c r="O8" s="81"/>
      <c r="P8" s="81"/>
      <c r="Q8" s="81"/>
      <c r="R8" s="81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</row>
    <row r="9" spans="1:41" ht="27.75" customHeight="1">
      <c r="A9" s="33"/>
      <c r="B9" s="49" t="s">
        <v>20</v>
      </c>
      <c r="C9" s="46"/>
      <c r="D9" s="86" t="s">
        <v>21</v>
      </c>
      <c r="E9" s="86"/>
      <c r="F9" s="86"/>
      <c r="G9" s="41"/>
      <c r="H9" s="50" t="s">
        <v>22</v>
      </c>
      <c r="I9" s="51"/>
      <c r="J9" s="87" t="s">
        <v>23</v>
      </c>
      <c r="K9" s="88"/>
      <c r="L9" s="88"/>
      <c r="M9" s="88"/>
      <c r="N9" s="88"/>
      <c r="O9" s="88"/>
      <c r="P9" s="88"/>
      <c r="Q9" s="88"/>
      <c r="R9" s="88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</row>
    <row r="10" spans="1:41" ht="17.25" thickBot="1">
      <c r="A10" s="33"/>
      <c r="B10" s="52"/>
      <c r="C10" s="52"/>
      <c r="D10" s="52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</row>
    <row r="11" spans="1:41" ht="50.25" customHeight="1" thickTop="1">
      <c r="A11" s="33"/>
      <c r="B11" s="89" t="s">
        <v>24</v>
      </c>
      <c r="C11" s="89"/>
      <c r="D11" s="89"/>
      <c r="E11" s="90" t="str">
        <f>"일금 "&amp;NUMBERSTRING(K18,1)&amp;" 원정"&amp;TEXT(K18,"(₩#,###)")</f>
        <v>일금 삼백일십만 원정(₩3,100,000)</v>
      </c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</row>
    <row r="12" spans="1:41" ht="17.25" thickBot="1">
      <c r="A12" s="29"/>
      <c r="B12" s="53"/>
      <c r="C12" s="53"/>
      <c r="D12" s="53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</row>
    <row r="13" spans="1:41" ht="29.25" customHeight="1" thickTop="1">
      <c r="A13" s="29"/>
      <c r="B13" s="92" t="s">
        <v>25</v>
      </c>
      <c r="C13" s="93"/>
      <c r="D13" s="93"/>
      <c r="E13" s="94"/>
      <c r="F13" s="95" t="s">
        <v>26</v>
      </c>
      <c r="G13" s="94"/>
      <c r="H13" s="54" t="s">
        <v>27</v>
      </c>
      <c r="I13" s="96" t="s">
        <v>28</v>
      </c>
      <c r="J13" s="97"/>
      <c r="K13" s="98" t="s">
        <v>29</v>
      </c>
      <c r="L13" s="98"/>
      <c r="M13" s="98"/>
      <c r="N13" s="99"/>
      <c r="O13" s="98" t="s">
        <v>30</v>
      </c>
      <c r="P13" s="98"/>
      <c r="Q13" s="98"/>
      <c r="R13" s="98"/>
      <c r="S13" s="55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</row>
    <row r="14" spans="1:41" ht="28.5" customHeight="1">
      <c r="A14" s="29"/>
      <c r="B14" s="111" t="str">
        <f>Sheet2!C3</f>
        <v>옥상 우레탄방수 3mm (제 2안)</v>
      </c>
      <c r="C14" s="112"/>
      <c r="D14" s="112"/>
      <c r="E14" s="113"/>
      <c r="F14" s="114" t="s">
        <v>31</v>
      </c>
      <c r="G14" s="107"/>
      <c r="H14" s="56">
        <v>1</v>
      </c>
      <c r="I14" s="115"/>
      <c r="J14" s="116"/>
      <c r="K14" s="117">
        <f>Sheet2!M21</f>
        <v>3182800</v>
      </c>
      <c r="L14" s="112"/>
      <c r="M14" s="112"/>
      <c r="N14" s="113"/>
      <c r="O14" s="118"/>
      <c r="P14" s="119"/>
      <c r="Q14" s="119"/>
      <c r="R14" s="120"/>
      <c r="S14" s="55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</row>
    <row r="15" spans="1:41" ht="25.5" customHeight="1">
      <c r="A15" s="29"/>
      <c r="B15" s="100"/>
      <c r="C15" s="101"/>
      <c r="D15" s="101"/>
      <c r="E15" s="102"/>
      <c r="F15" s="103"/>
      <c r="G15" s="103"/>
      <c r="H15" s="57"/>
      <c r="I15" s="104"/>
      <c r="J15" s="103"/>
      <c r="K15" s="105"/>
      <c r="L15" s="106"/>
      <c r="M15" s="106"/>
      <c r="N15" s="107"/>
      <c r="O15" s="108"/>
      <c r="P15" s="109"/>
      <c r="Q15" s="109"/>
      <c r="R15" s="110"/>
      <c r="S15" s="55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</row>
    <row r="16" spans="1:41" ht="25.5" customHeight="1">
      <c r="A16" s="29"/>
      <c r="B16" s="108"/>
      <c r="C16" s="109"/>
      <c r="D16" s="109"/>
      <c r="E16" s="110"/>
      <c r="F16" s="108"/>
      <c r="G16" s="110"/>
      <c r="H16" s="57"/>
      <c r="I16" s="108"/>
      <c r="J16" s="110"/>
      <c r="K16" s="105"/>
      <c r="L16" s="106"/>
      <c r="M16" s="106"/>
      <c r="N16" s="107"/>
      <c r="O16" s="108"/>
      <c r="P16" s="109"/>
      <c r="Q16" s="109"/>
      <c r="R16" s="110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</row>
    <row r="17" spans="1:41" ht="25.5" customHeight="1">
      <c r="A17" s="29"/>
      <c r="B17" s="108"/>
      <c r="C17" s="109"/>
      <c r="D17" s="109"/>
      <c r="E17" s="136"/>
      <c r="F17" s="103"/>
      <c r="G17" s="103"/>
      <c r="H17" s="57"/>
      <c r="I17" s="104"/>
      <c r="J17" s="103"/>
      <c r="K17" s="105"/>
      <c r="L17" s="106"/>
      <c r="M17" s="106"/>
      <c r="N17" s="107"/>
      <c r="O17" s="108"/>
      <c r="P17" s="109"/>
      <c r="Q17" s="109"/>
      <c r="R17" s="110"/>
      <c r="S17" s="55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</row>
    <row r="18" spans="1:41" ht="27" customHeight="1">
      <c r="A18" s="29"/>
      <c r="B18" s="137" t="s">
        <v>32</v>
      </c>
      <c r="C18" s="138"/>
      <c r="D18" s="138"/>
      <c r="E18" s="139"/>
      <c r="F18" s="140"/>
      <c r="G18" s="141"/>
      <c r="H18" s="58"/>
      <c r="I18" s="137"/>
      <c r="J18" s="138"/>
      <c r="K18" s="142">
        <f>Sheet2!M22</f>
        <v>3100000</v>
      </c>
      <c r="L18" s="112"/>
      <c r="M18" s="112"/>
      <c r="N18" s="113"/>
      <c r="O18" s="137" t="s">
        <v>33</v>
      </c>
      <c r="P18" s="138"/>
      <c r="Q18" s="138"/>
      <c r="R18" s="138"/>
      <c r="S18" s="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</row>
    <row r="19" spans="1:41" ht="26.25" customHeight="1">
      <c r="A19" s="29"/>
      <c r="B19" s="121" t="s">
        <v>34</v>
      </c>
      <c r="C19" s="122"/>
      <c r="D19" s="127" t="s">
        <v>35</v>
      </c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</row>
    <row r="20" spans="1:41" ht="19.5" customHeight="1">
      <c r="A20" s="29"/>
      <c r="B20" s="123"/>
      <c r="C20" s="124"/>
      <c r="D20" s="130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2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</row>
    <row r="21" spans="1:41" ht="21" customHeight="1">
      <c r="A21" s="29"/>
      <c r="B21" s="123"/>
      <c r="C21" s="124"/>
      <c r="D21" s="130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2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</row>
    <row r="22" spans="1:41">
      <c r="A22" s="29"/>
      <c r="B22" s="125"/>
      <c r="C22" s="126"/>
      <c r="D22" s="133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5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</row>
    <row r="23" spans="1:41">
      <c r="A23" s="2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</row>
    <row r="24" spans="1:41">
      <c r="A24" s="29"/>
      <c r="B24" s="60"/>
      <c r="C24" s="60"/>
      <c r="D24" s="60"/>
      <c r="E24" s="61" t="s">
        <v>36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</row>
    <row r="25" spans="1:41">
      <c r="A25" s="2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</row>
    <row r="26" spans="1:41">
      <c r="A26" s="2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</row>
    <row r="27" spans="1:41">
      <c r="A27" s="2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</row>
    <row r="28" spans="1:41">
      <c r="A28" s="2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</row>
    <row r="29" spans="1:41">
      <c r="A29" s="29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</row>
    <row r="30" spans="1:41">
      <c r="A30" s="2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</row>
    <row r="31" spans="1:41">
      <c r="A31" s="2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</row>
    <row r="32" spans="1:41">
      <c r="A32" s="2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</row>
    <row r="33" spans="1:41">
      <c r="A33" s="2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</row>
    <row r="34" spans="1:41">
      <c r="A34" s="2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</row>
    <row r="35" spans="1:4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2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</row>
    <row r="36" spans="1:4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2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</row>
    <row r="37" spans="1:4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2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</row>
    <row r="38" spans="1:4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2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</row>
    <row r="39" spans="1:4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2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</row>
    <row r="40" spans="1:4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</row>
    <row r="41" spans="1: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2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</row>
    <row r="42" spans="1:4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32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</row>
    <row r="43" spans="1:4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32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</row>
    <row r="44" spans="1:4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2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</row>
    <row r="45" spans="1:4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2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</row>
    <row r="46" spans="1:4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32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</row>
    <row r="47" spans="1:4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32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</row>
    <row r="48" spans="1:4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32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</row>
    <row r="49" spans="1:4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32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</row>
    <row r="50" spans="1:4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32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</row>
    <row r="51" spans="1:4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2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</row>
    <row r="52" spans="1:4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32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</row>
    <row r="53" spans="1:4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32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</row>
    <row r="54" spans="1:4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32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</row>
    <row r="55" spans="1:4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32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</row>
    <row r="56" spans="1:4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2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</row>
    <row r="57" spans="1:4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32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</row>
    <row r="58" spans="1:4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32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</row>
    <row r="59" spans="1:4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32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</row>
  </sheetData>
  <mergeCells count="48"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>
    <pageSetUpPr fitToPage="1"/>
  </sheetPr>
  <dimension ref="A1:R29"/>
  <sheetViews>
    <sheetView tabSelected="1" zoomScale="70" zoomScaleNormal="70" workbookViewId="0">
      <selection activeCell="C9" sqref="C9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  <c r="O1" s="1"/>
      <c r="P1" s="1"/>
      <c r="Q1" s="1"/>
      <c r="R1" s="1"/>
    </row>
    <row r="2" spans="1:18" ht="30" customHeight="1" thickBot="1">
      <c r="A2" s="1"/>
      <c r="D2" s="1"/>
      <c r="E2" s="1"/>
      <c r="F2" s="1"/>
      <c r="O2" s="1"/>
      <c r="P2" s="1"/>
      <c r="Q2" s="1"/>
      <c r="R2" s="1"/>
    </row>
    <row r="3" spans="1:18" ht="30" customHeight="1" thickTop="1" thickBot="1">
      <c r="A3" s="1"/>
      <c r="B3" s="63" t="s">
        <v>37</v>
      </c>
      <c r="C3" s="147" t="s">
        <v>38</v>
      </c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9"/>
    </row>
    <row r="4" spans="1:18" ht="15" customHeight="1" thickBot="1">
      <c r="A4" s="1"/>
      <c r="D4" s="1"/>
      <c r="E4" s="1"/>
      <c r="F4" s="1"/>
    </row>
    <row r="5" spans="1:18" ht="31.9" customHeight="1" thickTop="1">
      <c r="A5" s="1"/>
      <c r="B5" s="64" t="s">
        <v>25</v>
      </c>
      <c r="C5" s="66" t="s">
        <v>26</v>
      </c>
      <c r="D5" s="66" t="s">
        <v>39</v>
      </c>
      <c r="E5" s="66" t="s">
        <v>27</v>
      </c>
      <c r="F5" s="143" t="s">
        <v>40</v>
      </c>
      <c r="G5" s="144"/>
      <c r="H5" s="145" t="s">
        <v>41</v>
      </c>
      <c r="I5" s="146"/>
      <c r="J5" s="145" t="s">
        <v>42</v>
      </c>
      <c r="K5" s="146"/>
      <c r="L5" s="145" t="s">
        <v>43</v>
      </c>
      <c r="M5" s="146"/>
      <c r="N5" s="70" t="s">
        <v>30</v>
      </c>
      <c r="O5" s="1"/>
      <c r="P5" s="1"/>
      <c r="Q5" s="1"/>
      <c r="R5" s="1"/>
    </row>
    <row r="6" spans="1:18" ht="31.35" customHeight="1">
      <c r="A6" s="1"/>
      <c r="B6" s="65"/>
      <c r="C6" s="67"/>
      <c r="D6" s="67"/>
      <c r="E6" s="67"/>
      <c r="F6" s="67" t="s">
        <v>28</v>
      </c>
      <c r="G6" s="68" t="s">
        <v>29</v>
      </c>
      <c r="H6" s="71" t="s">
        <v>28</v>
      </c>
      <c r="I6" s="72" t="s">
        <v>29</v>
      </c>
      <c r="J6" s="73" t="s">
        <v>28</v>
      </c>
      <c r="K6" s="73" t="s">
        <v>29</v>
      </c>
      <c r="L6" s="71" t="s">
        <v>28</v>
      </c>
      <c r="M6" s="71" t="s">
        <v>29</v>
      </c>
      <c r="N6" s="69"/>
      <c r="O6" s="1"/>
      <c r="P6" s="1"/>
      <c r="Q6" s="1"/>
      <c r="R6" s="1"/>
    </row>
    <row r="7" spans="1:18" ht="30" customHeight="1">
      <c r="A7" s="1"/>
      <c r="B7" s="16" t="s">
        <v>44</v>
      </c>
      <c r="C7" s="6" t="s">
        <v>45</v>
      </c>
      <c r="D7" s="11" t="s">
        <v>46</v>
      </c>
      <c r="E7" s="3">
        <v>100</v>
      </c>
      <c r="F7" s="4">
        <v>300</v>
      </c>
      <c r="G7" s="3">
        <f>E7*F7</f>
        <v>30000</v>
      </c>
      <c r="H7" s="4">
        <v>700</v>
      </c>
      <c r="I7" s="3">
        <f>H7*E7</f>
        <v>70000</v>
      </c>
      <c r="J7" s="4"/>
      <c r="K7" s="4"/>
      <c r="L7" s="5">
        <f>J7+H7+F7</f>
        <v>1000</v>
      </c>
      <c r="M7" s="3">
        <f>SUM(K7+I7+G7)</f>
        <v>100000</v>
      </c>
      <c r="N7" s="11"/>
    </row>
    <row r="8" spans="1:18" ht="34.5">
      <c r="A8" s="1"/>
      <c r="B8" s="26" t="s">
        <v>47</v>
      </c>
      <c r="C8" s="27"/>
      <c r="D8" s="28" t="s">
        <v>48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:M9" si="0">SUM(K8+I8+G8)</f>
        <v>0</v>
      </c>
      <c r="N8" s="11"/>
    </row>
    <row r="9" spans="1:18" ht="37.9" customHeight="1">
      <c r="A9" s="1"/>
      <c r="B9" s="14" t="s">
        <v>49</v>
      </c>
      <c r="C9" s="150" t="s">
        <v>70</v>
      </c>
      <c r="D9" s="11" t="s">
        <v>46</v>
      </c>
      <c r="E9" s="3">
        <v>100</v>
      </c>
      <c r="F9" s="4">
        <v>1200</v>
      </c>
      <c r="G9" s="3">
        <f t="shared" ref="G9" si="1">E9*F9</f>
        <v>120000</v>
      </c>
      <c r="H9" s="4">
        <v>1400</v>
      </c>
      <c r="I9" s="3">
        <f t="shared" ref="I9" si="2">H9*E9</f>
        <v>140000</v>
      </c>
      <c r="J9" s="4"/>
      <c r="K9" s="4"/>
      <c r="L9" s="5">
        <f t="shared" ref="L9" si="3">J9+H9+F9</f>
        <v>2600</v>
      </c>
      <c r="M9" s="3">
        <f t="shared" si="0"/>
        <v>260000</v>
      </c>
      <c r="N9" s="11"/>
    </row>
    <row r="10" spans="1:18" ht="30" customHeight="1">
      <c r="A10" s="1"/>
      <c r="B10" s="14" t="s">
        <v>50</v>
      </c>
      <c r="C10" s="6" t="s">
        <v>51</v>
      </c>
      <c r="D10" s="11" t="s">
        <v>46</v>
      </c>
      <c r="E10" s="3">
        <v>100</v>
      </c>
      <c r="F10" s="4">
        <v>4000</v>
      </c>
      <c r="G10" s="3">
        <f t="shared" ref="G10:G12" si="4">E10*F10</f>
        <v>400000</v>
      </c>
      <c r="H10" s="4">
        <v>3200</v>
      </c>
      <c r="I10" s="3">
        <f t="shared" ref="I10:I12" si="5">H10*E10</f>
        <v>320000</v>
      </c>
      <c r="J10" s="4">
        <v>300</v>
      </c>
      <c r="K10" s="3">
        <f>J10*E10</f>
        <v>30000</v>
      </c>
      <c r="L10" s="5">
        <f t="shared" ref="L10:L13" si="6">J10+H10+F10</f>
        <v>7500</v>
      </c>
      <c r="M10" s="3">
        <f t="shared" ref="M10:M13" si="7">SUM(K10+I10+G10)</f>
        <v>750000</v>
      </c>
      <c r="N10" s="11"/>
    </row>
    <row r="11" spans="1:18" ht="30" customHeight="1">
      <c r="A11" s="1"/>
      <c r="B11" s="15" t="s">
        <v>52</v>
      </c>
      <c r="C11" s="6" t="s">
        <v>53</v>
      </c>
      <c r="D11" s="11" t="s">
        <v>46</v>
      </c>
      <c r="E11" s="3">
        <v>100</v>
      </c>
      <c r="F11" s="4">
        <v>8000</v>
      </c>
      <c r="G11" s="3">
        <f t="shared" si="4"/>
        <v>800000</v>
      </c>
      <c r="H11" s="4">
        <v>5000</v>
      </c>
      <c r="I11" s="3">
        <f t="shared" si="5"/>
        <v>500000</v>
      </c>
      <c r="J11" s="4">
        <v>400</v>
      </c>
      <c r="K11" s="3">
        <f>J11*E11</f>
        <v>40000</v>
      </c>
      <c r="L11" s="5">
        <f t="shared" si="6"/>
        <v>13400</v>
      </c>
      <c r="M11" s="3">
        <f t="shared" si="7"/>
        <v>1340000</v>
      </c>
      <c r="N11" s="11"/>
    </row>
    <row r="12" spans="1:18" ht="30" customHeight="1">
      <c r="A12" s="1"/>
      <c r="B12" s="15" t="s">
        <v>54</v>
      </c>
      <c r="C12" s="6" t="s">
        <v>55</v>
      </c>
      <c r="D12" s="11" t="s">
        <v>46</v>
      </c>
      <c r="E12" s="3"/>
      <c r="F12" s="4">
        <v>4500</v>
      </c>
      <c r="G12" s="3">
        <f t="shared" si="4"/>
        <v>0</v>
      </c>
      <c r="H12" s="4">
        <v>4500</v>
      </c>
      <c r="I12" s="3">
        <f t="shared" si="5"/>
        <v>0</v>
      </c>
      <c r="J12" s="4">
        <v>500</v>
      </c>
      <c r="K12" s="3">
        <f>J12*E12</f>
        <v>0</v>
      </c>
      <c r="L12" s="5">
        <f t="shared" si="6"/>
        <v>9500</v>
      </c>
      <c r="M12" s="3">
        <f>SUM(K12+I12+G12)</f>
        <v>0</v>
      </c>
      <c r="N12" s="11"/>
    </row>
    <row r="13" spans="1:18" ht="30" customHeight="1">
      <c r="B13" s="15" t="s">
        <v>56</v>
      </c>
      <c r="C13" s="6" t="s">
        <v>57</v>
      </c>
      <c r="D13" s="11" t="s">
        <v>46</v>
      </c>
      <c r="E13" s="3">
        <v>100</v>
      </c>
      <c r="F13" s="4">
        <v>2000</v>
      </c>
      <c r="G13" s="3">
        <f t="shared" ref="G13" si="8">E13*F13</f>
        <v>200000</v>
      </c>
      <c r="H13" s="4">
        <v>1500</v>
      </c>
      <c r="I13" s="3">
        <f t="shared" ref="I13" si="9">H13*E13</f>
        <v>150000</v>
      </c>
      <c r="J13" s="4"/>
      <c r="K13" s="4"/>
      <c r="L13" s="5">
        <f t="shared" si="6"/>
        <v>3500</v>
      </c>
      <c r="M13" s="3">
        <f t="shared" si="7"/>
        <v>350000</v>
      </c>
      <c r="N13" s="11"/>
    </row>
    <row r="14" spans="1:18" ht="30" customHeight="1">
      <c r="B14" s="15" t="s">
        <v>58</v>
      </c>
      <c r="C14" s="6"/>
      <c r="D14" s="11" t="s">
        <v>59</v>
      </c>
      <c r="E14" s="3">
        <v>1</v>
      </c>
      <c r="F14" s="3"/>
      <c r="G14" s="3"/>
      <c r="H14" s="3"/>
      <c r="I14" s="3"/>
      <c r="J14" s="3"/>
      <c r="K14" s="3">
        <v>120000</v>
      </c>
      <c r="L14" s="5">
        <f>SUM(K14+I14+G14)</f>
        <v>120000</v>
      </c>
      <c r="M14" s="3">
        <f t="shared" ref="M14:M16" si="10">SUM(K14+I14+G14)</f>
        <v>120000</v>
      </c>
      <c r="N14" s="11"/>
    </row>
    <row r="15" spans="1:18" ht="30" customHeight="1">
      <c r="B15" s="15" t="s">
        <v>60</v>
      </c>
      <c r="C15" s="6"/>
      <c r="D15" s="11" t="s">
        <v>61</v>
      </c>
      <c r="E15" s="3">
        <v>1</v>
      </c>
      <c r="F15" s="3"/>
      <c r="G15" s="3"/>
      <c r="H15" s="3"/>
      <c r="I15" s="3"/>
      <c r="J15" s="3"/>
      <c r="K15" s="3"/>
      <c r="L15" s="5">
        <f>SUM(K15+I15+G15)</f>
        <v>0</v>
      </c>
      <c r="M15" s="3">
        <f t="shared" si="10"/>
        <v>0</v>
      </c>
      <c r="N15" s="11"/>
    </row>
    <row r="16" spans="1:18" ht="30" customHeight="1">
      <c r="B16" s="15" t="s">
        <v>62</v>
      </c>
      <c r="C16" s="6"/>
      <c r="D16" s="11" t="s">
        <v>61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si="10"/>
        <v>0</v>
      </c>
      <c r="N16" s="11"/>
    </row>
    <row r="17" spans="2:14" ht="30" customHeight="1">
      <c r="B17" s="15"/>
      <c r="C17" s="6"/>
      <c r="D17" s="11"/>
      <c r="E17" s="3"/>
      <c r="F17" s="3"/>
      <c r="G17" s="3"/>
      <c r="H17" s="3"/>
      <c r="I17" s="3"/>
      <c r="J17" s="3"/>
      <c r="K17" s="3"/>
      <c r="L17" s="5"/>
      <c r="M17" s="3"/>
      <c r="N17" s="11"/>
    </row>
    <row r="18" spans="2:14" ht="30" customHeight="1">
      <c r="B18" s="17" t="s">
        <v>63</v>
      </c>
      <c r="C18" s="7"/>
      <c r="D18" s="8"/>
      <c r="E18" s="2"/>
      <c r="F18" s="2"/>
      <c r="G18" s="9">
        <f>SUM(G7:G17)</f>
        <v>1550000</v>
      </c>
      <c r="H18" s="18"/>
      <c r="I18" s="9">
        <f>SUM(I7:I17)</f>
        <v>1180000</v>
      </c>
      <c r="J18" s="2"/>
      <c r="K18" s="9">
        <f>SUM(K7:K17)</f>
        <v>190000</v>
      </c>
      <c r="L18" s="2"/>
      <c r="M18" s="2">
        <f>SUM(M7:M17)</f>
        <v>2920000</v>
      </c>
      <c r="N18" s="10"/>
    </row>
    <row r="19" spans="2:14" ht="32.450000000000003" customHeight="1">
      <c r="B19" s="19" t="s">
        <v>64</v>
      </c>
      <c r="C19" s="6"/>
      <c r="D19" s="11" t="s">
        <v>65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87600</v>
      </c>
      <c r="N19" s="11"/>
    </row>
    <row r="20" spans="2:14" ht="30" customHeight="1">
      <c r="B20" s="20" t="s">
        <v>66</v>
      </c>
      <c r="C20" s="6"/>
      <c r="D20" s="11" t="s">
        <v>65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175200</v>
      </c>
      <c r="N20" s="11"/>
    </row>
    <row r="21" spans="2:14" ht="30" customHeight="1">
      <c r="B21" s="21" t="s">
        <v>67</v>
      </c>
      <c r="C21" s="22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3182800</v>
      </c>
      <c r="N21" s="10"/>
    </row>
    <row r="22" spans="2:14" ht="30" customHeight="1">
      <c r="B22" s="23" t="s">
        <v>68</v>
      </c>
      <c r="C22" s="24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3100000</v>
      </c>
      <c r="N22" s="25" t="s">
        <v>69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김아라</dc:creator>
  <cp:keywords/>
  <dc:description/>
  <cp:lastModifiedBy>김혜진</cp:lastModifiedBy>
  <cp:revision/>
  <dcterms:created xsi:type="dcterms:W3CDTF">2025-04-06T12:41:57Z</dcterms:created>
  <dcterms:modified xsi:type="dcterms:W3CDTF">2026-03-16T06:08:43Z</dcterms:modified>
  <cp:category/>
  <cp:contentStatus/>
</cp:coreProperties>
</file>