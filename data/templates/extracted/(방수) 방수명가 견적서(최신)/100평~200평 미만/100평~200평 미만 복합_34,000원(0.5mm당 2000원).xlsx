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(2)" sheetId="1" r:id="rId4"/>
    <sheet state="visible" name="Sheet2" sheetId="2" r:id="rId5"/>
    <sheet state="hidden" name="Config" sheetId="3" r:id="rId6"/>
  </sheets>
  <externalReferences>
    <externalReference r:id="rId7"/>
  </externalReferences>
  <definedNames/>
  <calcPr/>
  <extLst>
    <ext uri="GoogleSheetsCustomDataVersion2">
      <go:sheetsCustomData xmlns:go="http://customooxmlschemas.google.com/" r:id="rId8" roundtripDataChecksum="z4ybs0vucuZgSJ06k94KD2vMNeoIxrehZLiii/fkAto="/>
    </ext>
  </extLst>
</workbook>
</file>

<file path=xl/sharedStrings.xml><?xml version="1.0" encoding="utf-8"?>
<sst xmlns="http://schemas.openxmlformats.org/spreadsheetml/2006/main" count="90" uniqueCount="70">
  <si>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</si>
  <si>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</si>
  <si>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</si>
  <si>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</si>
  <si>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</si>
  <si>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</si>
  <si>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</si>
  <si>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</si>
  <si>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</si>
  <si>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</si>
  <si>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</si>
  <si>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</si>
  <si>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</si>
  <si>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</si>
  <si>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</si>
  <si>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r>
      <rPr>
        <rFont val="Malgun Gothic"/>
        <color theme="1"/>
        <sz val="12.0"/>
      </rPr>
      <t>귀하</t>
    </r>
  </si>
  <si>
    <t xml:space="preserve">  전화번호</t>
  </si>
  <si>
    <t>010.5379.3587</t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</si>
  <si>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</si>
  <si>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</si>
  <si>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</si>
  <si>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</si>
  <si>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</si>
  <si>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r>
      <rPr>
        <rFont val="맑은 고딕"/>
        <color theme="1"/>
        <sz val="12.0"/>
      </rPr>
      <t>서울특별시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서초구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신반포로</t>
    </r>
    <r>
      <rPr>
        <rFont val="Arial"/>
        <color theme="1"/>
        <sz val="12.0"/>
      </rPr>
      <t>45</t>
    </r>
    <r>
      <rPr>
        <rFont val="맑은 고딕"/>
        <color theme="1"/>
        <sz val="12.0"/>
      </rPr>
      <t>길</t>
    </r>
    <r>
      <rPr>
        <rFont val="Arial"/>
        <color theme="1"/>
        <sz val="12.0"/>
      </rPr>
      <t xml:space="preserve"> 26, 404</t>
    </r>
    <r>
      <rPr>
        <rFont val="맑은 고딕"/>
        <color theme="1"/>
        <sz val="12.0"/>
      </rPr>
      <t>호</t>
    </r>
    <r>
      <rPr>
        <rFont val="Arial"/>
        <color theme="1"/>
        <sz val="12.0"/>
      </rPr>
      <t>(</t>
    </r>
    <r>
      <rPr>
        <rFont val="맑은 고딕"/>
        <color theme="1"/>
        <sz val="12.0"/>
      </rPr>
      <t>잠원동</t>
    </r>
    <r>
      <rPr>
        <rFont val="Arial"/>
        <color theme="1"/>
        <sz val="12.0"/>
      </rPr>
      <t xml:space="preserve">, </t>
    </r>
    <r>
      <rPr>
        <rFont val="맑은 고딕"/>
        <color theme="1"/>
        <sz val="12.0"/>
      </rPr>
      <t>동화빌딩</t>
    </r>
    <r>
      <rPr>
        <rFont val="Arial"/>
        <color theme="1"/>
        <sz val="12.0"/>
      </rPr>
      <t>)</t>
    </r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</si>
  <si>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</si>
  <si>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</si>
  <si>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</si>
  <si>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</si>
  <si>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</si>
  <si>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</si>
  <si>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</si>
  <si>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</si>
  <si>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</si>
  <si>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r>
      <rPr>
        <rFont val="Arial"/>
        <color theme="1"/>
        <sz val="12.0"/>
      </rPr>
      <t>(</t>
    </r>
    <r>
      <rPr>
        <rFont val="맑은 고딕"/>
        <color theme="1"/>
        <sz val="12.0"/>
      </rPr>
      <t>단수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정리</t>
    </r>
    <r>
      <rPr>
        <rFont val="Arial"/>
        <color theme="1"/>
        <sz val="12.0"/>
      </rPr>
      <t>)</t>
    </r>
  </si>
  <si>
    <r>
      <rPr>
        <rFont val="Arial"/>
        <b/>
        <color theme="1"/>
        <sz val="12.0"/>
      </rPr>
      <t xml:space="preserve">
  </t>
    </r>
    <r>
      <rPr>
        <rFont val="맑은 고딕"/>
        <b/>
        <color theme="1"/>
        <sz val="12.0"/>
      </rPr>
      <t>특기사항</t>
    </r>
  </si>
  <si>
    <r>
      <rPr>
        <rFont val="Arial"/>
        <b/>
        <color rgb="FFFF0000"/>
        <sz val="12.0"/>
      </rPr>
      <t xml:space="preserve">  1. </t>
    </r>
    <r>
      <rPr>
        <rFont val="맑은 고딕"/>
        <b/>
        <color rgb="FFFF0000"/>
        <sz val="12.0"/>
      </rPr>
      <t>하자보수기간</t>
    </r>
    <r>
      <rPr>
        <rFont val="Arial"/>
        <b/>
        <color rgb="FFFF0000"/>
        <sz val="12.0"/>
      </rPr>
      <t xml:space="preserve"> 8</t>
    </r>
    <r>
      <rPr>
        <rFont val="맑은 고딕"/>
        <b/>
        <color rgb="FFFF0000"/>
        <sz val="12.0"/>
      </rPr>
      <t>년</t>
    </r>
    <r>
      <rPr>
        <rFont val="Arial"/>
        <b/>
        <color rgb="FFFF0000"/>
        <sz val="12.0"/>
      </rPr>
      <t xml:space="preserve"> (</t>
    </r>
    <r>
      <rPr>
        <rFont val="맑은 고딕"/>
        <b/>
        <color rgb="FFFF0000"/>
        <sz val="12.0"/>
      </rPr>
      <t>하자이행증권</t>
    </r>
    <r>
      <rPr>
        <rFont val="Arial"/>
        <b/>
        <color rgb="FFFF0000"/>
        <sz val="12.0"/>
      </rPr>
      <t xml:space="preserve"> 5</t>
    </r>
    <r>
      <rPr>
        <rFont val="맑은 고딕"/>
        <b/>
        <color rgb="FFFF0000"/>
        <sz val="12.0"/>
      </rPr>
      <t>년</t>
    </r>
    <r>
      <rPr>
        <rFont val="Arial"/>
        <b/>
        <color rgb="FFFF0000"/>
        <sz val="12.0"/>
      </rPr>
      <t>)</t>
    </r>
    <r>
      <rPr>
        <rFont val="Arial"/>
        <color theme="1"/>
        <sz val="12.0"/>
      </rPr>
      <t xml:space="preserve">
  2. </t>
    </r>
    <r>
      <rPr>
        <rFont val="맑은 고딕"/>
        <color theme="1"/>
        <sz val="12.0"/>
      </rPr>
      <t>견적서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제출</t>
    </r>
    <r>
      <rPr>
        <rFont val="Arial"/>
        <color theme="1"/>
        <sz val="12.0"/>
      </rPr>
      <t xml:space="preserve"> 30</t>
    </r>
    <r>
      <rPr>
        <rFont val="맑은 고딕"/>
        <color theme="1"/>
        <sz val="12.0"/>
      </rPr>
      <t>일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 xml:space="preserve">유효
</t>
    </r>
    <r>
      <rPr>
        <rFont val="Arial"/>
        <color theme="1"/>
        <sz val="12.0"/>
      </rPr>
      <t xml:space="preserve">  3. </t>
    </r>
    <r>
      <rPr>
        <rFont val="맑은 고딕"/>
        <color theme="1"/>
        <sz val="12.0"/>
      </rPr>
      <t>열차단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효과</t>
    </r>
    <r>
      <rPr>
        <rFont val="Arial"/>
        <color theme="1"/>
        <sz val="12.0"/>
      </rPr>
      <t xml:space="preserve">, </t>
    </r>
    <r>
      <rPr>
        <rFont val="맑은 고딕"/>
        <color theme="1"/>
        <sz val="12.0"/>
      </rPr>
      <t>크랙방지</t>
    </r>
    <r>
      <rPr>
        <rFont val="Arial"/>
        <color theme="1"/>
        <sz val="12.0"/>
      </rPr>
      <t xml:space="preserve">, </t>
    </r>
    <r>
      <rPr>
        <rFont val="맑은 고딕"/>
        <color theme="1"/>
        <sz val="12.0"/>
      </rPr>
      <t>반영구적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방수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 xml:space="preserve">공법
</t>
    </r>
    <r>
      <rPr>
        <rFont val="Arial"/>
        <color theme="1"/>
        <sz val="12.0"/>
      </rPr>
      <t xml:space="preserve">       * </t>
    </r>
    <r>
      <rPr>
        <rFont val="맑은 고딕"/>
        <color theme="1"/>
        <sz val="12.0"/>
      </rPr>
      <t>부가가치세별도</t>
    </r>
  </si>
  <si>
    <t>Brand Collaborations</t>
  </si>
  <si>
    <t>공 사 명</t>
  </si>
  <si>
    <r>
      <rPr>
        <rFont val="맑은 고딕"/>
        <color theme="1"/>
        <sz val="12.0"/>
      </rPr>
      <t>옥상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이중복합방수</t>
    </r>
    <r>
      <rPr>
        <rFont val="Arial"/>
        <color theme="1"/>
        <sz val="12.0"/>
      </rPr>
      <t xml:space="preserve"> 3.8mm</t>
    </r>
    <r>
      <rPr>
        <rFont val="Arial"/>
        <color theme="1"/>
        <sz val="12.0"/>
      </rPr>
      <t xml:space="preserve"> (</t>
    </r>
    <r>
      <rPr>
        <rFont val="맑은 고딕"/>
        <color theme="1"/>
        <sz val="12.0"/>
      </rPr>
      <t>제 1안)</t>
    </r>
  </si>
  <si>
    <t>단 위</t>
  </si>
  <si>
    <t>재 료 비</t>
  </si>
  <si>
    <t>인 건 비</t>
  </si>
  <si>
    <t>경 비</t>
  </si>
  <si>
    <r>
      <rPr>
        <rFont val="맑은 고딕"/>
        <b/>
        <color theme="0"/>
        <sz val="12.0"/>
      </rPr>
      <t>합</t>
    </r>
    <r>
      <rPr>
        <rFont val="Arial"/>
        <b/>
        <color theme="0"/>
        <sz val="12.0"/>
      </rPr>
      <t xml:space="preserve"> </t>
    </r>
    <r>
      <rPr>
        <rFont val="맑은 고딕"/>
        <b/>
        <color theme="0"/>
        <sz val="12.0"/>
      </rPr>
      <t>계</t>
    </r>
  </si>
  <si>
    <r>
      <rPr>
        <rFont val="Malgun Gothic"/>
        <color theme="1"/>
        <sz val="12.0"/>
      </rPr>
      <t>바탕정리</t>
    </r>
  </si>
  <si>
    <t>m²</t>
  </si>
  <si>
    <t>바탕조정제
부분미장</t>
  </si>
  <si>
    <r>
      <rPr>
        <rFont val="Malgun Gothic"/>
        <color theme="1"/>
        <sz val="12.0"/>
      </rPr>
      <t>하도</t>
    </r>
    <r>
      <rPr>
        <rFont val="Arial"/>
        <color theme="1"/>
        <sz val="12.0"/>
      </rPr>
      <t xml:space="preserve"> </t>
    </r>
    <r>
      <rPr>
        <rFont val="Malgun Gothic"/>
        <color theme="1"/>
        <sz val="12.0"/>
      </rPr>
      <t>프라이머</t>
    </r>
  </si>
  <si>
    <r>
      <rPr>
        <rFont val="Malgun Gothic"/>
        <color theme="1"/>
        <sz val="12.0"/>
      </rPr>
      <t>복합</t>
    </r>
    <r>
      <rPr>
        <rFont val="Arial"/>
        <color theme="1"/>
        <sz val="12.0"/>
      </rPr>
      <t xml:space="preserve"> </t>
    </r>
    <r>
      <rPr>
        <rFont val="Malgun Gothic"/>
        <color theme="1"/>
        <sz val="12.0"/>
      </rPr>
      <t>시트</t>
    </r>
  </si>
  <si>
    <t>2.3mm</t>
  </si>
  <si>
    <r>
      <rPr>
        <rFont val="Malgun Gothic"/>
        <color theme="1"/>
        <sz val="12.0"/>
      </rPr>
      <t>쪼인트</t>
    </r>
    <r>
      <rPr>
        <rFont val="Arial"/>
        <color theme="1"/>
        <sz val="12.0"/>
      </rPr>
      <t xml:space="preserve"> </t>
    </r>
    <r>
      <rPr>
        <rFont val="Malgun Gothic"/>
        <color theme="1"/>
        <sz val="12.0"/>
      </rPr>
      <t>실란트</t>
    </r>
    <r>
      <rPr>
        <rFont val="Arial"/>
        <color theme="1"/>
        <sz val="12.0"/>
      </rPr>
      <t xml:space="preserve"> 
</t>
    </r>
    <r>
      <rPr>
        <rFont val="Malgun Gothic"/>
        <color theme="1"/>
        <sz val="12.0"/>
      </rPr>
      <t>보강포</t>
    </r>
    <r>
      <rPr>
        <rFont val="Arial"/>
        <color theme="1"/>
        <sz val="12.0"/>
      </rPr>
      <t xml:space="preserve"> </t>
    </r>
    <r>
      <rPr>
        <rFont val="Malgun Gothic"/>
        <color theme="1"/>
        <sz val="12.0"/>
      </rPr>
      <t>부착</t>
    </r>
  </si>
  <si>
    <r>
      <rPr>
        <rFont val="Malgun Gothic"/>
        <color theme="1"/>
        <sz val="12.0"/>
      </rPr>
      <t>노출</t>
    </r>
    <r>
      <rPr>
        <rFont val="Arial"/>
        <color theme="1"/>
        <sz val="12.0"/>
      </rPr>
      <t xml:space="preserve"> </t>
    </r>
    <r>
      <rPr>
        <rFont val="Malgun Gothic"/>
        <color theme="1"/>
        <sz val="12.0"/>
      </rPr>
      <t>우레탄</t>
    </r>
  </si>
  <si>
    <r>
      <rPr>
        <rFont val="Malgun Gothic"/>
        <color theme="1"/>
        <sz val="12.0"/>
      </rPr>
      <t>중도</t>
    </r>
    <r>
      <rPr>
        <rFont val="Arial"/>
        <color theme="1"/>
        <sz val="12.0"/>
      </rPr>
      <t xml:space="preserve"> 1.5mm(2</t>
    </r>
    <r>
      <rPr>
        <rFont val="Malgun Gothic"/>
        <color theme="1"/>
        <sz val="12.0"/>
      </rPr>
      <t>회</t>
    </r>
    <r>
      <rPr>
        <rFont val="Arial"/>
        <color theme="1"/>
        <sz val="12.0"/>
      </rPr>
      <t>)</t>
    </r>
  </si>
  <si>
    <r>
      <rPr>
        <rFont val="Malgun Gothic"/>
        <color theme="1"/>
        <sz val="12.0"/>
      </rPr>
      <t>벽체</t>
    </r>
    <r>
      <rPr>
        <rFont val="Arial"/>
        <color theme="1"/>
        <sz val="12.0"/>
      </rPr>
      <t xml:space="preserve"> </t>
    </r>
    <r>
      <rPr>
        <rFont val="Malgun Gothic"/>
        <color theme="1"/>
        <sz val="12.0"/>
      </rPr>
      <t>우레탄</t>
    </r>
  </si>
  <si>
    <r>
      <rPr>
        <rFont val="Malgun Gothic"/>
        <color theme="1"/>
        <sz val="12.0"/>
      </rPr>
      <t>중도</t>
    </r>
    <r>
      <rPr>
        <rFont val="Arial"/>
        <color theme="1"/>
        <sz val="12.0"/>
      </rPr>
      <t xml:space="preserve"> 1mm(2</t>
    </r>
    <r>
      <rPr>
        <rFont val="Malgun Gothic"/>
        <color theme="1"/>
        <sz val="12.0"/>
      </rPr>
      <t>회</t>
    </r>
    <r>
      <rPr>
        <rFont val="Arial"/>
        <color theme="1"/>
        <sz val="12.0"/>
      </rPr>
      <t>)</t>
    </r>
  </si>
  <si>
    <r>
      <rPr>
        <rFont val="Malgun Gothic"/>
        <color theme="1"/>
        <sz val="12.0"/>
      </rPr>
      <t>우레탄</t>
    </r>
    <r>
      <rPr>
        <rFont val="Arial"/>
        <color theme="1"/>
        <sz val="12.0"/>
      </rPr>
      <t xml:space="preserve"> </t>
    </r>
    <r>
      <rPr>
        <rFont val="Malgun Gothic"/>
        <color theme="1"/>
        <sz val="12.0"/>
      </rPr>
      <t>상도</t>
    </r>
  </si>
  <si>
    <r>
      <rPr>
        <rFont val="Malgun Gothic"/>
        <color theme="1"/>
        <sz val="12.0"/>
      </rPr>
      <t>탑코팅</t>
    </r>
  </si>
  <si>
    <r>
      <rPr>
        <rFont val="맑은 고딕"/>
        <color theme="1"/>
        <sz val="12.0"/>
      </rPr>
      <t>사다리차</t>
    </r>
  </si>
  <si>
    <r>
      <rPr>
        <rFont val="맑은 고딕"/>
        <color theme="1"/>
        <sz val="12.0"/>
      </rPr>
      <t>일</t>
    </r>
  </si>
  <si>
    <r>
      <rPr>
        <rFont val="맑은 고딕"/>
        <color theme="1"/>
        <sz val="12.0"/>
      </rPr>
      <t>폐기물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처리</t>
    </r>
  </si>
  <si>
    <r>
      <rPr>
        <rFont val="맑은 고딕"/>
        <color theme="1"/>
        <sz val="12.0"/>
      </rPr>
      <t>식</t>
    </r>
  </si>
  <si>
    <r>
      <rPr>
        <rFont val="맑은 고딕"/>
        <color theme="1"/>
        <sz val="12.0"/>
      </rPr>
      <t>드라이비트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절개</t>
    </r>
  </si>
  <si>
    <r>
      <rPr>
        <rFont val="맑은 고딕"/>
        <color theme="1"/>
        <sz val="12.0"/>
      </rPr>
      <t>식</t>
    </r>
  </si>
  <si>
    <r>
      <rPr>
        <rFont val="맑은 고딕"/>
        <color theme="1"/>
        <sz val="12.0"/>
      </rPr>
      <t>소</t>
    </r>
    <r>
      <rPr>
        <rFont val="Arial"/>
        <color theme="1"/>
        <sz val="12.0"/>
      </rPr>
      <t xml:space="preserve">       </t>
    </r>
    <r>
      <rPr>
        <rFont val="맑은 고딕"/>
        <color theme="1"/>
        <sz val="12.0"/>
      </rPr>
      <t>계</t>
    </r>
    <r>
      <rPr>
        <rFont val="Arial"/>
        <color theme="1"/>
        <sz val="12.0"/>
      </rPr>
      <t xml:space="preserve"> </t>
    </r>
  </si>
  <si>
    <r>
      <rPr>
        <rFont val="맑은 고딕"/>
        <color theme="1"/>
        <sz val="12.0"/>
      </rPr>
      <t>공</t>
    </r>
    <r>
      <rPr>
        <rFont val="Arial"/>
        <color theme="1"/>
        <sz val="12.0"/>
      </rPr>
      <t xml:space="preserve">  </t>
    </r>
    <r>
      <rPr>
        <rFont val="맑은 고딕"/>
        <color theme="1"/>
        <sz val="12.0"/>
      </rPr>
      <t>과</t>
    </r>
    <r>
      <rPr>
        <rFont val="Arial"/>
        <color theme="1"/>
        <sz val="12.0"/>
      </rPr>
      <t xml:space="preserve">   </t>
    </r>
    <r>
      <rPr>
        <rFont val="맑은 고딕"/>
        <color theme="1"/>
        <sz val="12.0"/>
      </rPr>
      <t>잡</t>
    </r>
    <r>
      <rPr>
        <rFont val="Arial"/>
        <color theme="1"/>
        <sz val="12.0"/>
      </rPr>
      <t xml:space="preserve">  </t>
    </r>
    <r>
      <rPr>
        <rFont val="맑은 고딕"/>
        <color theme="1"/>
        <sz val="12.0"/>
      </rPr>
      <t>비</t>
    </r>
    <r>
      <rPr>
        <rFont val="Arial"/>
        <color theme="1"/>
        <sz val="12.0"/>
      </rPr>
      <t xml:space="preserve">, 
</t>
    </r>
    <r>
      <rPr>
        <rFont val="맑은 고딕"/>
        <color theme="1"/>
        <sz val="12.0"/>
      </rPr>
      <t>안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전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관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비</t>
    </r>
  </si>
  <si>
    <t>%</t>
  </si>
  <si>
    <r>
      <rPr>
        <rFont val="맑은 고딕"/>
        <color theme="1"/>
        <sz val="12.0"/>
      </rPr>
      <t>기</t>
    </r>
    <r>
      <rPr>
        <rFont val="Arial"/>
        <color theme="1"/>
        <sz val="12.0"/>
      </rPr>
      <t xml:space="preserve">  </t>
    </r>
    <r>
      <rPr>
        <rFont val="맑은 고딕"/>
        <color theme="1"/>
        <sz val="12.0"/>
      </rPr>
      <t>업</t>
    </r>
    <r>
      <rPr>
        <rFont val="Arial"/>
        <color theme="1"/>
        <sz val="12.0"/>
      </rPr>
      <t xml:space="preserve">  </t>
    </r>
    <r>
      <rPr>
        <rFont val="맑은 고딕"/>
        <color theme="1"/>
        <sz val="12.0"/>
      </rPr>
      <t>이</t>
    </r>
    <r>
      <rPr>
        <rFont val="Arial"/>
        <color theme="1"/>
        <sz val="12.0"/>
      </rPr>
      <t xml:space="preserve">  </t>
    </r>
    <r>
      <rPr>
        <rFont val="맑은 고딕"/>
        <color theme="1"/>
        <sz val="12.0"/>
      </rPr>
      <t>윤</t>
    </r>
  </si>
  <si>
    <r>
      <rPr>
        <rFont val="맑은 고딕"/>
        <color theme="1"/>
        <sz val="12.0"/>
      </rPr>
      <t>계</t>
    </r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</si>
  <si>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    </t>
    </r>
    <r>
      <rPr>
        <rFont val="맑은 고딕"/>
        <b/>
        <color theme="1"/>
        <sz val="12.0"/>
      </rPr>
      <t>계</t>
    </r>
  </si>
  <si>
    <r>
      <rPr>
        <rFont val="Arial"/>
        <color theme="1"/>
        <sz val="12.0"/>
      </rPr>
      <t>(</t>
    </r>
    <r>
      <rPr>
        <rFont val="맑은 고딕"/>
        <color theme="1"/>
        <sz val="12.0"/>
      </rPr>
      <t>단수정리</t>
    </r>
    <r>
      <rPr>
        <rFont val="Arial"/>
        <color theme="1"/>
        <sz val="12.0"/>
      </rPr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</si>
</sst>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년&quot;\ m&quot;월&quot;\ d&quot;일&quot;"/>
    <numFmt numFmtId="165" formatCode="[DBNum4]&quot;일금&quot;[$-412]General&quot;원정&quot;"/>
    <numFmt numFmtId="166" formatCode="#,##0;\-#,##0;"/>
  </numFmts>
  <fonts count="15">
    <font>
      <sz val="11.0"/>
      <color theme="1"/>
      <name val="Aptos Narrow"/>
      <scheme val="minor"/>
    </font>
    <font>
      <sz val="11.0"/>
      <color theme="1"/>
      <name val="Arial"/>
    </font>
    <font>
      <b/>
      <sz val="26.0"/>
      <color rgb="FF000000"/>
      <name val="Arial"/>
    </font>
    <font>
      <b/>
      <sz val="11.0"/>
      <color theme="1"/>
      <name val="Arial"/>
    </font>
    <font>
      <sz val="11.0"/>
      <color theme="1"/>
      <name val="Malgun Gothic"/>
    </font>
    <font>
      <b/>
      <sz val="12.0"/>
      <color rgb="FFFFFFFF"/>
      <name val="Arial"/>
    </font>
    <font>
      <sz val="12.0"/>
      <color theme="1"/>
      <name val="Arial"/>
    </font>
    <font/>
    <font>
      <b/>
      <sz val="12.0"/>
      <color theme="1"/>
      <name val="Arial"/>
    </font>
    <font>
      <b/>
      <sz val="12.0"/>
      <color theme="0"/>
      <name val="Arial"/>
    </font>
    <font>
      <b/>
      <sz val="16.0"/>
      <color theme="1"/>
      <name val="Arial"/>
    </font>
    <font>
      <b/>
      <sz val="11.0"/>
      <color rgb="FFB7B7B7"/>
      <name val="Arial"/>
    </font>
    <font>
      <b/>
      <sz val="11.0"/>
      <color theme="0"/>
      <name val="Arial"/>
    </font>
    <font>
      <sz val="12.0"/>
      <color theme="1"/>
      <name val="Malgun Gothic"/>
    </font>
    <font>
      <color theme="1"/>
      <name val="Aptos Narrow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262626"/>
        <bgColor rgb="FF262626"/>
      </patternFill>
    </fill>
    <fill>
      <patternFill patternType="solid">
        <fgColor rgb="FFEBEBEB"/>
        <bgColor rgb="FFEBEBEB"/>
      </patternFill>
    </fill>
    <fill>
      <patternFill patternType="solid">
        <fgColor rgb="FFF5F5F5"/>
        <bgColor rgb="FFF5F5F5"/>
      </patternFill>
    </fill>
    <fill>
      <patternFill patternType="solid">
        <fgColor rgb="FFF2F2F2"/>
        <bgColor rgb="FFF2F2F2"/>
      </patternFill>
    </fill>
  </fills>
  <borders count="78">
    <border/>
    <border>
      <left/>
      <right/>
      <top/>
      <bottom/>
    </border>
    <border>
      <left/>
      <right/>
      <top style="thick">
        <color rgb="FF000000"/>
      </top>
      <bottom style="thin">
        <color rgb="FF747474"/>
      </bottom>
    </border>
    <border>
      <left/>
      <right/>
      <top style="thick">
        <color rgb="FF000000"/>
      </top>
      <bottom/>
    </border>
    <border>
      <top style="thick">
        <color rgb="FF000000"/>
      </top>
    </border>
    <border>
      <left/>
      <right/>
      <top style="thick">
        <color theme="1"/>
      </top>
      <bottom/>
    </border>
    <border>
      <top style="thick">
        <color theme="1"/>
      </top>
      <bottom style="thin">
        <color rgb="FFCCCCCC"/>
      </bottom>
    </border>
    <border>
      <top style="thick">
        <color theme="1"/>
      </top>
    </border>
    <border>
      <left/>
      <right/>
      <top style="thin">
        <color rgb="FF747474"/>
      </top>
      <bottom style="thin">
        <color rgb="FF747474"/>
      </bottom>
    </border>
    <border>
      <left/>
      <right/>
      <top style="thin">
        <color rgb="FFCCCCCC"/>
      </top>
      <bottom style="thin">
        <color rgb="FFCCCCCC"/>
      </bottom>
    </border>
    <border>
      <top style="thin">
        <color rgb="FFB7B7B7"/>
      </top>
      <bottom style="thin">
        <color rgb="FFCCCCCC"/>
      </bottom>
    </border>
    <border>
      <right style="thin">
        <color rgb="FFB7B7B7"/>
      </right>
      <top style="thin">
        <color rgb="FFB7B7B7"/>
      </top>
      <bottom style="thin">
        <color rgb="FFCCCCCC"/>
      </bottom>
    </border>
    <border>
      <left/>
      <right/>
      <top style="thin">
        <color rgb="FFCCCCCC"/>
      </top>
      <bottom/>
    </border>
    <border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B7B7B7"/>
      </bottom>
    </border>
    <border>
      <right style="thin">
        <color rgb="FFB7B7B7"/>
      </right>
      <top style="thin">
        <color rgb="FFCCCCCC"/>
      </top>
      <bottom style="thin">
        <color rgb="FFB7B7B7"/>
      </bottom>
    </border>
    <border>
      <left/>
      <right/>
      <top/>
      <bottom style="thin">
        <color rgb="FF525979"/>
      </bottom>
    </border>
    <border>
      <bottom style="thin">
        <color rgb="FFCCCCCC"/>
      </bottom>
    </border>
    <border>
      <bottom style="thick">
        <color rgb="FF000000"/>
      </bottom>
    </border>
    <border>
      <left/>
      <top style="thick">
        <color theme="1"/>
      </top>
      <bottom/>
    </border>
    <border>
      <top style="thick">
        <color theme="1"/>
      </top>
      <bottom/>
    </border>
    <border>
      <right/>
      <top style="thick">
        <color theme="1"/>
      </top>
      <bottom/>
    </border>
    <border>
      <top style="thin">
        <color rgb="FFCCCCCC"/>
      </top>
      <bottom style="thick">
        <color rgb="FF000000"/>
      </bottom>
    </border>
    <border>
      <left style="thin">
        <color rgb="FFCCCCCC"/>
      </left>
      <top style="thick">
        <color rgb="FF000000"/>
      </top>
      <bottom style="thin">
        <color rgb="FFB7B7B7"/>
      </bottom>
    </border>
    <border>
      <top style="thick">
        <color rgb="FF000000"/>
      </top>
      <bottom style="thin">
        <color rgb="FFB7B7B7"/>
      </bottom>
    </border>
    <border>
      <right style="thin">
        <color rgb="FF747474"/>
      </right>
      <top style="thick">
        <color rgb="FF000000"/>
      </top>
      <bottom style="thin">
        <color rgb="FFB7B7B7"/>
      </bottom>
    </border>
    <border>
      <left style="thin">
        <color rgb="FF747474"/>
      </left>
      <top style="thick">
        <color rgb="FF000000"/>
      </top>
      <bottom style="thin">
        <color rgb="FFB7B7B7"/>
      </bottom>
    </border>
    <border>
      <left style="thin">
        <color rgb="FF747474"/>
      </left>
      <right style="thin">
        <color rgb="FF747474"/>
      </right>
      <top style="thick">
        <color rgb="FF000000"/>
      </top>
      <bottom style="thin">
        <color rgb="FFB7B7B7"/>
      </bottom>
    </border>
    <border>
      <left style="thin">
        <color rgb="FF747474"/>
      </left>
      <top style="thick">
        <color rgb="FF000000"/>
      </top>
      <bottom/>
    </border>
    <border>
      <right style="thin">
        <color rgb="FF747474"/>
      </right>
      <top style="thick">
        <color rgb="FF000000"/>
      </top>
      <bottom/>
    </border>
    <border>
      <left/>
      <top style="thick">
        <color rgb="FF000000"/>
      </top>
      <bottom/>
    </border>
    <border>
      <top style="thick">
        <color rgb="FF000000"/>
      </top>
      <bottom/>
    </border>
    <border>
      <right style="thin">
        <color rgb="FF525979"/>
      </right>
      <top style="thick">
        <color rgb="FF000000"/>
      </top>
      <bottom/>
    </border>
    <border>
      <right/>
      <top style="thick">
        <color rgb="FF000000"/>
      </top>
      <bottom/>
    </border>
    <border>
      <left style="thin">
        <color rgb="FFCCCCCC"/>
      </lef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top style="thin">
        <color rgb="FFB7B7B7"/>
      </top>
      <bottom style="thin">
        <color rgb="FFCCCCCC"/>
      </bottom>
    </border>
    <border>
      <top style="thin">
        <color rgb="FFCCCCCC"/>
      </top>
    </border>
    <border>
      <left style="thin">
        <color rgb="FFCCCCCC"/>
      </left>
      <top style="thin">
        <color rgb="FFCCCCCC"/>
      </top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B7B7B7"/>
      </right>
      <top style="thin">
        <color rgb="FFCCCCCC"/>
      </top>
      <bottom style="thin">
        <color rgb="FFCCCCCC"/>
      </bottom>
    </border>
    <border>
      <left style="thin">
        <color rgb="FFB7B7B7"/>
      </left>
      <top style="thin">
        <color rgb="FFCCCCCC"/>
      </top>
      <bottom style="thin">
        <color rgb="FFB7B7B7"/>
      </bottom>
    </border>
    <border>
      <right style="thin">
        <color rgb="FFCCCCCC"/>
      </right>
      <top style="thin">
        <color rgb="FFCCCCCC"/>
      </top>
      <bottom style="thin">
        <color rgb="FFB7B7B7"/>
      </bottom>
    </border>
    <border>
      <left style="thin">
        <color rgb="FFCCCCCC"/>
      </left>
      <right/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</border>
    <border>
      <right style="thin">
        <color rgb="FFB7B7B7"/>
      </right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top style="thick">
        <color rgb="FF343C61"/>
      </top>
      <bottom style="medium">
        <color rgb="FFCCCCCC"/>
      </bottom>
    </border>
    <border>
      <right style="medium">
        <color rgb="FFCCCCCC"/>
      </right>
      <top style="thick">
        <color rgb="FF343C61"/>
      </top>
      <bottom style="medium">
        <color rgb="FFCCCCCC"/>
      </bottom>
    </border>
    <border>
      <left style="thin">
        <color rgb="FFB7B7B7"/>
      </left>
      <right style="thin">
        <color rgb="FF7F7F7F"/>
      </right>
      <top style="thick">
        <color rgb="FF000000"/>
      </top>
      <bottom/>
    </border>
    <border>
      <left style="thin">
        <color rgb="FF7F7F7F"/>
      </left>
      <right style="thin">
        <color rgb="FF7F7F7F"/>
      </right>
      <top style="thick">
        <color rgb="FF000000"/>
      </top>
      <bottom/>
    </border>
    <border>
      <left style="thin">
        <color rgb="FF7F7F7F"/>
      </left>
      <top style="thick">
        <color rgb="FF000000"/>
      </top>
      <bottom/>
    </border>
    <border>
      <right style="thin">
        <color rgb="FF7F7F7F"/>
      </right>
      <top style="thick">
        <color rgb="FF000000"/>
      </top>
      <bottom/>
    </border>
    <border>
      <left style="thin">
        <color rgb="FF7F7F7F"/>
      </left>
      <top style="thick">
        <color rgb="FF000000"/>
      </top>
      <bottom style="thin">
        <color rgb="FF7F7F7F"/>
      </bottom>
    </border>
    <border>
      <right style="thin">
        <color rgb="FF7F7F7F"/>
      </right>
      <top style="thick">
        <color rgb="FF000000"/>
      </top>
      <bottom style="thin">
        <color rgb="FF7F7F7F"/>
      </bottom>
    </border>
    <border>
      <left style="thin">
        <color rgb="FFB7B7B7"/>
      </left>
      <right style="thin">
        <color rgb="FF7F7F7F"/>
      </right>
      <top/>
      <bottom/>
    </border>
    <border>
      <left style="thin">
        <color rgb="FF7F7F7F"/>
      </left>
      <right style="thin">
        <color rgb="FF7F7F7F"/>
      </right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CCCCCC"/>
      </lef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/>
      <right style="thin">
        <color rgb="FFB7B7B7"/>
      </right>
      <top/>
      <bottom style="thin">
        <color rgb="FFB7B7B7"/>
      </bottom>
    </border>
    <border>
      <left style="thin">
        <color rgb="FFCCCCCC"/>
      </left>
      <top style="thin">
        <color rgb="FFB7B7B7"/>
      </top>
      <bottom style="thin">
        <color rgb="FFB7B7B7"/>
      </bottom>
    </border>
    <border>
      <left style="thin">
        <color rgb="FFB7B7B7"/>
      </left>
      <right/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/>
      <bottom style="thin">
        <color rgb="FFB7B7B7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1" fillId="2" fontId="1" numFmtId="0" xfId="0" applyBorder="1" applyFill="1" applyFont="1"/>
    <xf borderId="0" fillId="0" fontId="1" numFmtId="0" xfId="0" applyAlignment="1" applyFont="1">
      <alignment vertical="center"/>
    </xf>
    <xf borderId="0" fillId="0" fontId="3" numFmtId="0" xfId="0" applyFont="1"/>
    <xf borderId="1" fillId="2" fontId="3" numFmtId="0" xfId="0" applyBorder="1" applyFont="1"/>
    <xf borderId="1" fillId="2" fontId="1" numFmtId="0" xfId="0" applyAlignment="1" applyBorder="1" applyFont="1">
      <alignment vertical="center"/>
    </xf>
    <xf borderId="1" fillId="2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Font="1"/>
    <xf borderId="2" fillId="3" fontId="5" numFmtId="0" xfId="0" applyAlignment="1" applyBorder="1" applyFill="1" applyFont="1">
      <alignment vertical="center"/>
    </xf>
    <xf borderId="3" fillId="2" fontId="5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left" vertical="center"/>
    </xf>
    <xf borderId="4" fillId="0" fontId="7" numFmtId="0" xfId="0" applyBorder="1" applyFont="1"/>
    <xf borderId="0" fillId="0" fontId="8" numFmtId="0" xfId="0" applyFont="1"/>
    <xf borderId="5" fillId="4" fontId="8" numFmtId="0" xfId="0" applyAlignment="1" applyBorder="1" applyFill="1" applyFont="1">
      <alignment vertical="center"/>
    </xf>
    <xf borderId="5" fillId="2" fontId="8" numFmtId="0" xfId="0" applyAlignment="1" applyBorder="1" applyFont="1">
      <alignment vertical="center"/>
    </xf>
    <xf borderId="6" fillId="0" fontId="6" numFmtId="0" xfId="0" applyAlignment="1" applyBorder="1" applyFont="1">
      <alignment vertical="center"/>
    </xf>
    <xf borderId="6" fillId="0" fontId="7" numFmtId="0" xfId="0" applyBorder="1" applyFont="1"/>
    <xf borderId="7" fillId="0" fontId="6" numFmtId="0" xfId="0" applyAlignment="1" applyBorder="1" applyFont="1">
      <alignment vertical="center"/>
    </xf>
    <xf borderId="8" fillId="3" fontId="9" numFmtId="0" xfId="0" applyAlignment="1" applyBorder="1" applyFont="1">
      <alignment vertical="center"/>
    </xf>
    <xf borderId="9" fillId="2" fontId="9" numFmtId="0" xfId="0" applyAlignment="1" applyBorder="1" applyFont="1">
      <alignment vertical="center"/>
    </xf>
    <xf borderId="10" fillId="0" fontId="6" numFmtId="164" xfId="0" applyAlignment="1" applyBorder="1" applyFont="1" applyNumberFormat="1">
      <alignment horizontal="left" vertical="center"/>
    </xf>
    <xf borderId="10" fillId="0" fontId="7" numFmtId="0" xfId="0" applyBorder="1" applyFont="1"/>
    <xf borderId="11" fillId="0" fontId="7" numFmtId="0" xfId="0" applyBorder="1" applyFont="1"/>
    <xf borderId="12" fillId="4" fontId="8" numFmtId="0" xfId="0" applyAlignment="1" applyBorder="1" applyFont="1">
      <alignment vertical="center"/>
    </xf>
    <xf borderId="12" fillId="2" fontId="8" numFmtId="0" xfId="0" applyAlignment="1" applyBorder="1" applyFont="1">
      <alignment vertical="center"/>
    </xf>
    <xf borderId="13" fillId="0" fontId="6" numFmtId="0" xfId="0" applyAlignment="1" applyBorder="1" applyFont="1">
      <alignment vertical="center"/>
    </xf>
    <xf borderId="13" fillId="0" fontId="7" numFmtId="0" xfId="0" applyBorder="1" applyFont="1"/>
    <xf borderId="13" fillId="0" fontId="6" numFmtId="0" xfId="0" applyAlignment="1" applyBorder="1" applyFont="1">
      <alignment horizontal="left" vertical="center"/>
    </xf>
    <xf borderId="14" fillId="0" fontId="6" numFmtId="0" xfId="0" applyAlignment="1" applyBorder="1" applyFont="1">
      <alignment vertical="center"/>
    </xf>
    <xf borderId="14" fillId="0" fontId="7" numFmtId="0" xfId="0" applyBorder="1" applyFont="1"/>
    <xf borderId="15" fillId="0" fontId="7" numFmtId="0" xfId="0" applyBorder="1" applyFont="1"/>
    <xf borderId="16" fillId="3" fontId="9" numFmtId="0" xfId="0" applyAlignment="1" applyBorder="1" applyFont="1">
      <alignment vertical="center"/>
    </xf>
    <xf borderId="17" fillId="0" fontId="6" numFmtId="0" xfId="0" applyAlignment="1" applyBorder="1" applyFont="1">
      <alignment vertical="center"/>
    </xf>
    <xf borderId="17" fillId="0" fontId="7" numFmtId="0" xfId="0" applyBorder="1" applyFont="1"/>
    <xf borderId="9" fillId="4" fontId="8" numFmtId="0" xfId="0" applyAlignment="1" applyBorder="1" applyFont="1">
      <alignment vertical="center"/>
    </xf>
    <xf borderId="9" fillId="2" fontId="8" numFmtId="0" xfId="0" applyAlignment="1" applyBorder="1" applyFont="1">
      <alignment vertical="center"/>
    </xf>
    <xf borderId="13" fillId="0" fontId="6" numFmtId="0" xfId="0" applyAlignment="1" applyBorder="1" applyFont="1">
      <alignment horizontal="left" shrinkToFit="0" vertical="center" wrapText="1"/>
    </xf>
    <xf borderId="1" fillId="2" fontId="9" numFmtId="0" xfId="0" applyAlignment="1" applyBorder="1" applyFont="1">
      <alignment vertical="center"/>
    </xf>
    <xf borderId="18" fillId="0" fontId="6" numFmtId="0" xfId="0" applyAlignment="1" applyBorder="1" applyFont="1">
      <alignment vertical="center"/>
    </xf>
    <xf borderId="18" fillId="0" fontId="7" numFmtId="0" xfId="0" applyBorder="1" applyFont="1"/>
    <xf borderId="19" fillId="3" fontId="9" numFmtId="0" xfId="0" applyAlignment="1" applyBorder="1" applyFont="1">
      <alignment horizontal="center" shrinkToFit="0" vertical="center" wrapText="1"/>
    </xf>
    <xf borderId="20" fillId="0" fontId="7" numFmtId="0" xfId="0" applyBorder="1" applyFont="1"/>
    <xf borderId="21" fillId="0" fontId="7" numFmtId="0" xfId="0" applyBorder="1" applyFont="1"/>
    <xf borderId="4" fillId="0" fontId="10" numFmtId="165" xfId="0" applyAlignment="1" applyBorder="1" applyFont="1" applyNumberFormat="1">
      <alignment horizontal="center" shrinkToFit="0" vertical="center" wrapText="1"/>
    </xf>
    <xf borderId="18" fillId="0" fontId="6" numFmtId="0" xfId="0" applyBorder="1" applyFont="1"/>
    <xf borderId="22" fillId="0" fontId="6" numFmtId="0" xfId="0" applyBorder="1" applyFont="1"/>
    <xf borderId="22" fillId="0" fontId="7" numFmtId="0" xfId="0" applyBorder="1" applyFont="1"/>
    <xf borderId="23" fillId="3" fontId="9" numFmtId="0" xfId="0" applyAlignment="1" applyBorder="1" applyFont="1">
      <alignment horizontal="center" vertical="center"/>
    </xf>
    <xf borderId="24" fillId="0" fontId="7" numFmtId="0" xfId="0" applyBorder="1" applyFont="1"/>
    <xf borderId="25" fillId="0" fontId="7" numFmtId="0" xfId="0" applyBorder="1" applyFont="1"/>
    <xf borderId="26" fillId="3" fontId="9" numFmtId="0" xfId="0" applyAlignment="1" applyBorder="1" applyFont="1">
      <alignment horizontal="center" vertical="center"/>
    </xf>
    <xf borderId="27" fillId="3" fontId="9" numFmtId="0" xfId="0" applyAlignment="1" applyBorder="1" applyFont="1">
      <alignment horizontal="center" vertical="center"/>
    </xf>
    <xf borderId="28" fillId="3" fontId="9" numFmtId="0" xfId="0" applyAlignment="1" applyBorder="1" applyFont="1">
      <alignment horizontal="center" vertical="center"/>
    </xf>
    <xf borderId="29" fillId="0" fontId="7" numFmtId="0" xfId="0" applyBorder="1" applyFont="1"/>
    <xf borderId="30" fillId="3" fontId="9" numFmtId="0" xfId="0" applyAlignment="1" applyBorder="1" applyFont="1">
      <alignment horizontal="center" vertical="center"/>
    </xf>
    <xf borderId="31" fillId="0" fontId="7" numFmtId="0" xfId="0" applyBorder="1" applyFont="1"/>
    <xf borderId="32" fillId="0" fontId="7" numFmtId="0" xfId="0" applyBorder="1" applyFont="1"/>
    <xf borderId="33" fillId="0" fontId="7" numFmtId="0" xfId="0" applyBorder="1" applyFont="1"/>
    <xf borderId="34" fillId="0" fontId="1" numFmtId="0" xfId="0" applyBorder="1" applyFont="1"/>
    <xf borderId="35" fillId="0" fontId="6" numFmtId="0" xfId="0" applyAlignment="1" applyBorder="1" applyFont="1">
      <alignment horizontal="center" vertical="center"/>
    </xf>
    <xf borderId="36" fillId="0" fontId="7" numFmtId="0" xfId="0" applyBorder="1" applyFont="1"/>
    <xf borderId="37" fillId="0" fontId="7" numFmtId="0" xfId="0" applyBorder="1" applyFont="1"/>
    <xf borderId="38" fillId="0" fontId="6" numFmtId="0" xfId="0" applyAlignment="1" applyBorder="1" applyFont="1">
      <alignment horizontal="center" vertical="center"/>
    </xf>
    <xf borderId="34" fillId="0" fontId="6" numFmtId="0" xfId="0" applyAlignment="1" applyBorder="1" applyFont="1">
      <alignment horizontal="center"/>
    </xf>
    <xf borderId="35" fillId="0" fontId="6" numFmtId="3" xfId="0" applyAlignment="1" applyBorder="1" applyFont="1" applyNumberFormat="1">
      <alignment horizontal="center" vertical="center"/>
    </xf>
    <xf borderId="39" fillId="0" fontId="6" numFmtId="0" xfId="0" applyAlignment="1" applyBorder="1" applyFont="1">
      <alignment horizontal="center"/>
    </xf>
    <xf borderId="40" fillId="0" fontId="7" numFmtId="0" xfId="0" applyBorder="1" applyFont="1"/>
    <xf borderId="41" fillId="0" fontId="6" numFmtId="0" xfId="0" applyAlignment="1" applyBorder="1" applyFont="1">
      <alignment horizontal="center"/>
    </xf>
    <xf borderId="42" fillId="0" fontId="6" numFmtId="0" xfId="0" applyAlignment="1" applyBorder="1" applyFont="1">
      <alignment horizontal="center"/>
    </xf>
    <xf borderId="42" fillId="0" fontId="7" numFmtId="0" xfId="0" applyBorder="1" applyFont="1"/>
    <xf borderId="43" fillId="0" fontId="6" numFmtId="0" xfId="0" applyBorder="1" applyFont="1"/>
    <xf borderId="43" fillId="0" fontId="6" numFmtId="0" xfId="0" applyAlignment="1" applyBorder="1" applyFont="1">
      <alignment horizontal="center"/>
    </xf>
    <xf borderId="35" fillId="0" fontId="6" numFmtId="0" xfId="0" applyAlignment="1" applyBorder="1" applyFont="1">
      <alignment horizontal="center"/>
    </xf>
    <xf borderId="44" fillId="0" fontId="6" numFmtId="0" xfId="0" applyAlignment="1" applyBorder="1" applyFont="1">
      <alignment horizontal="center"/>
    </xf>
    <xf borderId="45" fillId="0" fontId="7" numFmtId="0" xfId="0" applyBorder="1" applyFont="1"/>
    <xf borderId="46" fillId="0" fontId="7" numFmtId="0" xfId="0" applyBorder="1" applyFont="1"/>
    <xf borderId="44" fillId="5" fontId="6" numFmtId="0" xfId="0" applyAlignment="1" applyBorder="1" applyFill="1" applyFont="1">
      <alignment horizontal="center" vertical="center"/>
    </xf>
    <xf borderId="47" fillId="5" fontId="6" numFmtId="0" xfId="0" applyAlignment="1" applyBorder="1" applyFont="1">
      <alignment horizontal="center" vertical="center"/>
    </xf>
    <xf borderId="48" fillId="0" fontId="7" numFmtId="0" xfId="0" applyBorder="1" applyFont="1"/>
    <xf borderId="49" fillId="5" fontId="6" numFmtId="0" xfId="0" applyAlignment="1" applyBorder="1" applyFont="1">
      <alignment vertical="center"/>
    </xf>
    <xf borderId="50" fillId="0" fontId="7" numFmtId="0" xfId="0" applyBorder="1" applyFont="1"/>
    <xf borderId="35" fillId="5" fontId="6" numFmtId="3" xfId="0" applyAlignment="1" applyBorder="1" applyFont="1" applyNumberFormat="1">
      <alignment horizontal="center" vertical="center"/>
    </xf>
    <xf borderId="43" fillId="0" fontId="8" numFmtId="0" xfId="0" applyAlignment="1" applyBorder="1" applyFont="1">
      <alignment shrinkToFit="0" vertical="top" wrapText="1"/>
    </xf>
    <xf borderId="51" fillId="0" fontId="6" numFmtId="0" xfId="0" applyAlignment="1" applyBorder="1" applyFont="1">
      <alignment shrinkToFit="0" vertical="center" wrapText="1"/>
    </xf>
    <xf borderId="52" fillId="0" fontId="7" numFmtId="0" xfId="0" applyBorder="1" applyFont="1"/>
    <xf borderId="53" fillId="0" fontId="7" numFmtId="0" xfId="0" applyBorder="1" applyFont="1"/>
    <xf borderId="34" fillId="0" fontId="7" numFmtId="0" xfId="0" applyBorder="1" applyFont="1"/>
    <xf borderId="54" fillId="0" fontId="7" numFmtId="0" xfId="0" applyBorder="1" applyFont="1"/>
    <xf borderId="55" fillId="0" fontId="7" numFmtId="0" xfId="0" applyBorder="1" applyFont="1"/>
    <xf borderId="39" fillId="0" fontId="7" numFmtId="0" xfId="0" applyBorder="1" applyFont="1"/>
    <xf borderId="56" fillId="0" fontId="7" numFmtId="0" xfId="0" applyBorder="1" applyFont="1"/>
    <xf borderId="57" fillId="0" fontId="7" numFmtId="0" xfId="0" applyBorder="1" applyFont="1"/>
    <xf borderId="58" fillId="0" fontId="7" numFmtId="0" xfId="0" applyBorder="1" applyFont="1"/>
    <xf borderId="42" fillId="0" fontId="11" numFmtId="0" xfId="0" applyBorder="1" applyFont="1"/>
    <xf borderId="0" fillId="0" fontId="11" numFmtId="0" xfId="0" applyFont="1"/>
    <xf borderId="0" fillId="0" fontId="11" numFmtId="0" xfId="0" applyAlignment="1" applyFont="1">
      <alignment horizontal="right"/>
    </xf>
    <xf borderId="1" fillId="2" fontId="4" numFmtId="0" xfId="0" applyBorder="1" applyFont="1"/>
    <xf borderId="3" fillId="3" fontId="12" numFmtId="0" xfId="0" applyAlignment="1" applyBorder="1" applyFont="1">
      <alignment horizontal="center" vertical="center"/>
    </xf>
    <xf borderId="59" fillId="0" fontId="6" numFmtId="0" xfId="0" applyAlignment="1" applyBorder="1" applyFont="1">
      <alignment horizontal="left" shrinkToFit="0" vertical="center" wrapText="1"/>
    </xf>
    <xf borderId="59" fillId="0" fontId="7" numFmtId="0" xfId="0" applyBorder="1" applyFont="1"/>
    <xf borderId="60" fillId="0" fontId="7" numFmtId="0" xfId="0" applyBorder="1" applyFont="1"/>
    <xf borderId="61" fillId="3" fontId="9" numFmtId="0" xfId="0" applyAlignment="1" applyBorder="1" applyFont="1">
      <alignment horizontal="center" vertical="center"/>
    </xf>
    <xf borderId="62" fillId="3" fontId="9" numFmtId="0" xfId="0" applyAlignment="1" applyBorder="1" applyFont="1">
      <alignment horizontal="center" vertical="center"/>
    </xf>
    <xf borderId="63" fillId="3" fontId="9" numFmtId="0" xfId="0" applyAlignment="1" applyBorder="1" applyFont="1">
      <alignment horizontal="center" vertical="center"/>
    </xf>
    <xf borderId="64" fillId="0" fontId="7" numFmtId="0" xfId="0" applyBorder="1" applyFont="1"/>
    <xf borderId="65" fillId="3" fontId="9" numFmtId="0" xfId="0" applyAlignment="1" applyBorder="1" applyFont="1">
      <alignment horizontal="center" vertical="center"/>
    </xf>
    <xf borderId="66" fillId="0" fontId="7" numFmtId="0" xfId="0" applyBorder="1" applyFont="1"/>
    <xf borderId="3" fillId="3" fontId="9" numFmtId="0" xfId="0" applyAlignment="1" applyBorder="1" applyFont="1">
      <alignment horizontal="center" vertical="center"/>
    </xf>
    <xf borderId="67" fillId="3" fontId="9" numFmtId="0" xfId="0" applyAlignment="1" applyBorder="1" applyFont="1">
      <alignment horizontal="center" vertical="center"/>
    </xf>
    <xf borderId="68" fillId="3" fontId="9" numFmtId="0" xfId="0" applyAlignment="1" applyBorder="1" applyFont="1">
      <alignment horizontal="center" vertical="center"/>
    </xf>
    <xf borderId="69" fillId="3" fontId="9" numFmtId="0" xfId="0" applyAlignment="1" applyBorder="1" applyFont="1">
      <alignment horizontal="center" vertical="center"/>
    </xf>
    <xf borderId="70" fillId="3" fontId="9" numFmtId="0" xfId="0" applyAlignment="1" applyBorder="1" applyFont="1">
      <alignment horizontal="center" vertical="center"/>
    </xf>
    <xf borderId="71" fillId="3" fontId="9" numFmtId="0" xfId="0" applyAlignment="1" applyBorder="1" applyFont="1">
      <alignment horizontal="center" vertical="center"/>
    </xf>
    <xf borderId="1" fillId="3" fontId="9" numFmtId="0" xfId="0" applyAlignment="1" applyBorder="1" applyFont="1">
      <alignment horizontal="center" vertical="center"/>
    </xf>
    <xf borderId="72" fillId="0" fontId="6" numFmtId="0" xfId="0" applyAlignment="1" applyBorder="1" applyFont="1">
      <alignment horizontal="center" shrinkToFit="0" vertical="center" wrapText="1"/>
    </xf>
    <xf borderId="73" fillId="0" fontId="6" numFmtId="0" xfId="0" applyAlignment="1" applyBorder="1" applyFont="1">
      <alignment horizontal="center" vertical="center"/>
    </xf>
    <xf borderId="58" fillId="0" fontId="6" numFmtId="0" xfId="0" applyAlignment="1" applyBorder="1" applyFont="1">
      <alignment horizontal="center" vertical="center"/>
    </xf>
    <xf borderId="58" fillId="0" fontId="6" numFmtId="3" xfId="0" applyAlignment="1" applyBorder="1" applyFont="1" applyNumberFormat="1">
      <alignment horizontal="center" vertical="center"/>
    </xf>
    <xf borderId="58" fillId="0" fontId="6" numFmtId="166" xfId="0" applyAlignment="1" applyBorder="1" applyFont="1" applyNumberFormat="1">
      <alignment horizontal="center" vertical="center"/>
    </xf>
    <xf borderId="74" fillId="2" fontId="6" numFmtId="3" xfId="0" applyAlignment="1" applyBorder="1" applyFont="1" applyNumberFormat="1">
      <alignment horizontal="center" vertical="center"/>
    </xf>
    <xf borderId="72" fillId="0" fontId="13" numFmtId="0" xfId="0" applyAlignment="1" applyBorder="1" applyFont="1">
      <alignment horizontal="center" shrinkToFit="0" vertical="center" wrapText="1"/>
    </xf>
    <xf borderId="58" fillId="0" fontId="13" numFmtId="0" xfId="0" applyAlignment="1" applyBorder="1" applyFont="1">
      <alignment horizontal="center" vertical="center"/>
    </xf>
    <xf borderId="75" fillId="0" fontId="6" numFmtId="0" xfId="0" applyAlignment="1" applyBorder="1" applyFont="1">
      <alignment horizontal="center" vertical="center"/>
    </xf>
    <xf borderId="73" fillId="0" fontId="6" numFmtId="0" xfId="0" applyAlignment="1" applyBorder="1" applyFont="1">
      <alignment horizontal="center" shrinkToFit="0" vertical="center" wrapText="1"/>
    </xf>
    <xf borderId="75" fillId="0" fontId="6" numFmtId="0" xfId="0" applyAlignment="1" applyBorder="1" applyFont="1">
      <alignment horizontal="center" shrinkToFit="0" vertical="center" wrapText="1"/>
    </xf>
    <xf borderId="76" fillId="6" fontId="6" numFmtId="0" xfId="0" applyAlignment="1" applyBorder="1" applyFill="1" applyFont="1">
      <alignment horizontal="center" vertical="center"/>
    </xf>
    <xf borderId="77" fillId="6" fontId="6" numFmtId="0" xfId="0" applyAlignment="1" applyBorder="1" applyFont="1">
      <alignment horizontal="center" shrinkToFit="0" vertical="center" wrapText="1"/>
    </xf>
    <xf borderId="74" fillId="6" fontId="6" numFmtId="0" xfId="0" applyAlignment="1" applyBorder="1" applyFont="1">
      <alignment horizontal="center" vertical="center"/>
    </xf>
    <xf borderId="74" fillId="6" fontId="6" numFmtId="3" xfId="0" applyAlignment="1" applyBorder="1" applyFont="1" applyNumberFormat="1">
      <alignment horizontal="center" vertical="center"/>
    </xf>
    <xf borderId="74" fillId="5" fontId="6" numFmtId="3" xfId="0" applyAlignment="1" applyBorder="1" applyFont="1" applyNumberFormat="1">
      <alignment horizontal="center" vertical="center"/>
    </xf>
    <xf borderId="74" fillId="5" fontId="6" numFmtId="166" xfId="0" applyAlignment="1" applyBorder="1" applyFont="1" applyNumberFormat="1">
      <alignment horizontal="center" vertical="center"/>
    </xf>
    <xf borderId="74" fillId="5" fontId="6" numFmtId="0" xfId="0" applyAlignment="1" applyBorder="1" applyFont="1">
      <alignment horizontal="center"/>
    </xf>
    <xf borderId="35" fillId="0" fontId="6" numFmtId="0" xfId="0" applyAlignment="1" applyBorder="1" applyFont="1">
      <alignment horizontal="center" shrinkToFit="0" vertical="center" wrapText="1"/>
    </xf>
    <xf borderId="76" fillId="5" fontId="6" numFmtId="0" xfId="0" applyAlignment="1" applyBorder="1" applyFont="1">
      <alignment horizontal="center" vertical="center"/>
    </xf>
    <xf borderId="77" fillId="5" fontId="6" numFmtId="0" xfId="0" applyAlignment="1" applyBorder="1" applyFont="1">
      <alignment horizontal="center"/>
    </xf>
    <xf borderId="74" fillId="5" fontId="6" numFmtId="3" xfId="0" applyAlignment="1" applyBorder="1" applyFont="1" applyNumberFormat="1">
      <alignment horizontal="center"/>
    </xf>
    <xf borderId="76" fillId="5" fontId="8" numFmtId="0" xfId="0" applyAlignment="1" applyBorder="1" applyFont="1">
      <alignment horizontal="center" vertical="center"/>
    </xf>
    <xf borderId="38" fillId="5" fontId="6" numFmtId="0" xfId="0" applyAlignment="1" applyBorder="1" applyFont="1">
      <alignment horizontal="center"/>
    </xf>
    <xf borderId="74" fillId="5" fontId="8" numFmtId="3" xfId="0" applyAlignment="1" applyBorder="1" applyFont="1" applyNumberFormat="1">
      <alignment horizontal="center" vertical="center"/>
    </xf>
    <xf borderId="74" fillId="5" fontId="6" numFmtId="0" xfId="0" applyAlignment="1" applyBorder="1" applyFont="1">
      <alignment horizontal="center" vertical="center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219075</xdr:colOff>
      <xdr:row>23</xdr:row>
      <xdr:rowOff>9525</xdr:rowOff>
    </xdr:from>
    <xdr:ext cx="7439025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</xdr:row>
      <xdr:rowOff>161925</xdr:rowOff>
    </xdr:from>
    <xdr:ext cx="1447800" cy="3238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0</xdr:row>
      <xdr:rowOff>200025</xdr:rowOff>
    </xdr:from>
    <xdr:ext cx="1447800" cy="3238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100&#54217;%5eF200&#54217;%20&#48120;&#47564;%20&#48373;&#54633;_33%5eJ000&#50896;(0.5mm&#45817;%202000&#50896;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 (2)"/>
      <sheetName val="Sheet2"/>
      <sheetName val="Config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9.75"/>
    <col customWidth="1" min="3" max="3" width="0.88"/>
    <col customWidth="1" min="4" max="4" width="3.63"/>
    <col customWidth="1" min="5" max="5" width="31.38"/>
    <col customWidth="1" hidden="1" min="6" max="6" width="2.63"/>
    <col customWidth="1" min="7" max="7" width="6.0"/>
    <col customWidth="1" min="8" max="8" width="12.38"/>
    <col customWidth="1" min="9" max="9" width="0.88"/>
    <col customWidth="1" min="10" max="10" width="14.13"/>
    <col customWidth="1" min="11" max="11" width="0.13"/>
    <col customWidth="1" min="12" max="12" width="11.5"/>
    <col customWidth="1" min="13" max="13" width="0.88"/>
    <col customWidth="1" min="14" max="14" width="22.0"/>
    <col customWidth="1" min="15" max="15" width="6.13"/>
    <col customWidth="1" min="16" max="16" width="0.88"/>
    <col customWidth="1" min="17" max="17" width="8.0"/>
    <col customWidth="1" min="18" max="18" width="3.25"/>
    <col customWidth="1" min="19" max="37" width="8.0"/>
  </cols>
  <sheetData>
    <row r="1" ht="21.75" customHeight="1">
      <c r="A1" s="1"/>
      <c r="B1" s="2" t="s">
        <v>0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5.0" customHeight="1">
      <c r="A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ht="15.0" customHeight="1">
      <c r="A3" s="1"/>
      <c r="B3" s="1"/>
      <c r="C3" s="1"/>
      <c r="D3" s="1"/>
      <c r="E3" s="1"/>
      <c r="F3" s="1"/>
      <c r="G3" s="1"/>
      <c r="H3" s="3"/>
      <c r="I3" s="3"/>
      <c r="J3" s="3"/>
      <c r="K3" s="3"/>
      <c r="L3" s="1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16.5" customHeight="1">
      <c r="A4" s="5"/>
      <c r="B4" s="5"/>
      <c r="C4" s="5"/>
      <c r="D4" s="5"/>
      <c r="E4" s="5"/>
      <c r="F4" s="1"/>
      <c r="G4" s="6"/>
      <c r="H4" s="6"/>
      <c r="I4" s="6"/>
      <c r="J4" s="6"/>
      <c r="K4" s="6"/>
      <c r="L4" s="6"/>
      <c r="M4" s="7"/>
      <c r="N4" s="6"/>
      <c r="O4" s="6"/>
      <c r="P4" s="6"/>
      <c r="Q4" s="6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ht="21.0" customHeight="1">
      <c r="A5" s="5"/>
      <c r="B5" s="8"/>
      <c r="C5" s="8"/>
      <c r="D5" s="8"/>
      <c r="E5" s="8"/>
      <c r="F5" s="4"/>
      <c r="G5" s="7"/>
      <c r="H5" s="9" t="s">
        <v>1</v>
      </c>
      <c r="I5" s="9"/>
      <c r="J5" s="10"/>
      <c r="K5" s="10"/>
      <c r="L5" s="10"/>
      <c r="M5" s="9"/>
      <c r="N5" s="10"/>
      <c r="O5" s="10"/>
      <c r="P5" s="10"/>
      <c r="Q5" s="10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ht="27.0" customHeight="1">
      <c r="A6" s="11"/>
      <c r="B6" s="12" t="s">
        <v>2</v>
      </c>
      <c r="C6" s="13"/>
      <c r="D6" s="14">
        <v>2.6030901E7</v>
      </c>
      <c r="E6" s="15"/>
      <c r="F6" s="15"/>
      <c r="G6" s="16"/>
      <c r="H6" s="17" t="s">
        <v>3</v>
      </c>
      <c r="I6" s="18"/>
      <c r="J6" s="19" t="s">
        <v>4</v>
      </c>
      <c r="K6" s="20"/>
      <c r="L6" s="17" t="s">
        <v>5</v>
      </c>
      <c r="M6" s="18"/>
      <c r="N6" s="21" t="s">
        <v>6</v>
      </c>
      <c r="O6" s="17" t="s">
        <v>7</v>
      </c>
      <c r="P6" s="18"/>
      <c r="Q6" s="19" t="s">
        <v>8</v>
      </c>
      <c r="R6" s="20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ht="26.25" customHeight="1">
      <c r="A7" s="5"/>
      <c r="B7" s="22" t="s">
        <v>9</v>
      </c>
      <c r="C7" s="23"/>
      <c r="D7" s="24">
        <v>46090.0</v>
      </c>
      <c r="E7" s="25"/>
      <c r="F7" s="26"/>
      <c r="G7" s="16"/>
      <c r="H7" s="27" t="s">
        <v>10</v>
      </c>
      <c r="I7" s="28"/>
      <c r="J7" s="29" t="s">
        <v>11</v>
      </c>
      <c r="K7" s="30"/>
      <c r="L7" s="27" t="s">
        <v>12</v>
      </c>
      <c r="M7" s="28"/>
      <c r="N7" s="31" t="s">
        <v>13</v>
      </c>
      <c r="O7" s="30"/>
      <c r="P7" s="30"/>
      <c r="Q7" s="30"/>
      <c r="R7" s="30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ht="26.25" customHeight="1">
      <c r="A8" s="5"/>
      <c r="B8" s="22" t="s">
        <v>14</v>
      </c>
      <c r="C8" s="23"/>
      <c r="D8" s="32" t="s">
        <v>15</v>
      </c>
      <c r="E8" s="33"/>
      <c r="F8" s="34"/>
      <c r="G8" s="16"/>
      <c r="H8" s="27" t="s">
        <v>16</v>
      </c>
      <c r="I8" s="28"/>
      <c r="J8" s="29" t="s">
        <v>17</v>
      </c>
      <c r="K8" s="30"/>
      <c r="L8" s="27" t="s">
        <v>18</v>
      </c>
      <c r="M8" s="28"/>
      <c r="N8" s="31" t="s">
        <v>19</v>
      </c>
      <c r="O8" s="30"/>
      <c r="P8" s="30"/>
      <c r="Q8" s="30"/>
      <c r="R8" s="30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ht="27.75" customHeight="1">
      <c r="A9" s="5"/>
      <c r="B9" s="35" t="s">
        <v>20</v>
      </c>
      <c r="C9" s="23"/>
      <c r="D9" s="36" t="s">
        <v>21</v>
      </c>
      <c r="E9" s="37"/>
      <c r="F9" s="37"/>
      <c r="G9" s="16"/>
      <c r="H9" s="38" t="s">
        <v>22</v>
      </c>
      <c r="I9" s="39"/>
      <c r="J9" s="40" t="s">
        <v>23</v>
      </c>
      <c r="K9" s="30"/>
      <c r="L9" s="30"/>
      <c r="M9" s="30"/>
      <c r="N9" s="30"/>
      <c r="O9" s="30"/>
      <c r="P9" s="30"/>
      <c r="Q9" s="30"/>
      <c r="R9" s="30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ht="17.25" customHeight="1">
      <c r="A10" s="5"/>
      <c r="B10" s="41"/>
      <c r="C10" s="41"/>
      <c r="D10" s="41"/>
      <c r="E10" s="42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ht="50.25" customHeight="1">
      <c r="A11" s="5"/>
      <c r="B11" s="44" t="s">
        <v>24</v>
      </c>
      <c r="C11" s="45"/>
      <c r="D11" s="46"/>
      <c r="E11" s="47" t="str">
        <f>"일금 "&amp;NUMBERSTRING(K18,1)&amp;" 원정"&amp;TEXT(K18,"(₩#,###)")</f>
        <v>#NAME?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ht="17.25" customHeight="1">
      <c r="A12" s="1"/>
      <c r="B12" s="48"/>
      <c r="C12" s="48"/>
      <c r="D12" s="48"/>
      <c r="E12" s="49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ht="29.25" customHeight="1">
      <c r="A13" s="1"/>
      <c r="B13" s="51" t="s">
        <v>25</v>
      </c>
      <c r="C13" s="52"/>
      <c r="D13" s="52"/>
      <c r="E13" s="53"/>
      <c r="F13" s="54" t="s">
        <v>26</v>
      </c>
      <c r="G13" s="53"/>
      <c r="H13" s="55" t="s">
        <v>27</v>
      </c>
      <c r="I13" s="56" t="s">
        <v>28</v>
      </c>
      <c r="J13" s="57"/>
      <c r="K13" s="58" t="s">
        <v>29</v>
      </c>
      <c r="L13" s="59"/>
      <c r="M13" s="59"/>
      <c r="N13" s="60"/>
      <c r="O13" s="58" t="s">
        <v>30</v>
      </c>
      <c r="P13" s="59"/>
      <c r="Q13" s="59"/>
      <c r="R13" s="61"/>
      <c r="S13" s="62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ht="28.5" customHeight="1">
      <c r="A14" s="1"/>
      <c r="B14" s="63" t="str">
        <f>[1]Sheet2!C3</f>
        <v>#ERROR!</v>
      </c>
      <c r="C14" s="64"/>
      <c r="D14" s="64"/>
      <c r="E14" s="65"/>
      <c r="F14" s="63" t="s">
        <v>31</v>
      </c>
      <c r="G14" s="65"/>
      <c r="H14" s="66">
        <v>1.0</v>
      </c>
      <c r="I14" s="67"/>
      <c r="K14" s="68">
        <f>Sheet2!M21</f>
        <v>3836800</v>
      </c>
      <c r="L14" s="64"/>
      <c r="M14" s="64"/>
      <c r="N14" s="65"/>
      <c r="O14" s="69"/>
      <c r="P14" s="37"/>
      <c r="Q14" s="37"/>
      <c r="R14" s="70"/>
      <c r="S14" s="62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ht="25.5" customHeight="1">
      <c r="A15" s="1"/>
      <c r="B15" s="71"/>
      <c r="C15" s="25"/>
      <c r="D15" s="25"/>
      <c r="E15" s="26"/>
      <c r="F15" s="72"/>
      <c r="G15" s="73"/>
      <c r="H15" s="74"/>
      <c r="I15" s="75"/>
      <c r="J15" s="73"/>
      <c r="K15" s="76"/>
      <c r="L15" s="64"/>
      <c r="M15" s="64"/>
      <c r="N15" s="65"/>
      <c r="O15" s="77"/>
      <c r="P15" s="30"/>
      <c r="Q15" s="30"/>
      <c r="R15" s="78"/>
      <c r="S15" s="62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ht="25.5" customHeight="1">
      <c r="A16" s="1"/>
      <c r="B16" s="77"/>
      <c r="C16" s="30"/>
      <c r="D16" s="30"/>
      <c r="E16" s="78"/>
      <c r="F16" s="77"/>
      <c r="G16" s="78"/>
      <c r="H16" s="74"/>
      <c r="I16" s="77"/>
      <c r="J16" s="78"/>
      <c r="K16" s="76"/>
      <c r="L16" s="64"/>
      <c r="M16" s="64"/>
      <c r="N16" s="65"/>
      <c r="O16" s="77"/>
      <c r="P16" s="30"/>
      <c r="Q16" s="30"/>
      <c r="R16" s="78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ht="25.5" customHeight="1">
      <c r="A17" s="1"/>
      <c r="B17" s="77"/>
      <c r="C17" s="30"/>
      <c r="D17" s="30"/>
      <c r="E17" s="79"/>
      <c r="F17" s="72"/>
      <c r="G17" s="73"/>
      <c r="H17" s="74"/>
      <c r="I17" s="75"/>
      <c r="J17" s="73"/>
      <c r="K17" s="76"/>
      <c r="L17" s="64"/>
      <c r="M17" s="64"/>
      <c r="N17" s="65"/>
      <c r="O17" s="77"/>
      <c r="P17" s="30"/>
      <c r="Q17" s="30"/>
      <c r="R17" s="78"/>
      <c r="S17" s="62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ht="27.0" customHeight="1">
      <c r="A18" s="1"/>
      <c r="B18" s="80" t="s">
        <v>32</v>
      </c>
      <c r="C18" s="30"/>
      <c r="D18" s="30"/>
      <c r="E18" s="79"/>
      <c r="F18" s="81"/>
      <c r="G18" s="82"/>
      <c r="H18" s="83"/>
      <c r="I18" s="80"/>
      <c r="J18" s="84"/>
      <c r="K18" s="85">
        <f>Sheet2!M22</f>
        <v>3800000</v>
      </c>
      <c r="L18" s="64"/>
      <c r="M18" s="64"/>
      <c r="N18" s="65"/>
      <c r="O18" s="80" t="s">
        <v>33</v>
      </c>
      <c r="P18" s="30"/>
      <c r="Q18" s="30"/>
      <c r="R18" s="84"/>
      <c r="S18" s="62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ht="26.25" customHeight="1">
      <c r="A19" s="1"/>
      <c r="B19" s="86" t="s">
        <v>34</v>
      </c>
      <c r="C19" s="73"/>
      <c r="D19" s="87" t="s">
        <v>35</v>
      </c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9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ht="19.5" customHeight="1">
      <c r="A20" s="1"/>
      <c r="B20" s="90"/>
      <c r="D20" s="91"/>
      <c r="R20" s="92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ht="21.0" customHeight="1">
      <c r="A21" s="1"/>
      <c r="B21" s="90"/>
      <c r="D21" s="91"/>
      <c r="R21" s="92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ht="17.25" customHeight="1">
      <c r="A22" s="1"/>
      <c r="B22" s="93"/>
      <c r="C22" s="37"/>
      <c r="D22" s="94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6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ht="17.25" customHeight="1">
      <c r="A23" s="1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ht="17.25" customHeight="1">
      <c r="A24" s="1"/>
      <c r="B24" s="98"/>
      <c r="C24" s="98"/>
      <c r="D24" s="98"/>
      <c r="E24" s="99" t="s">
        <v>36</v>
      </c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ht="17.25" customHeight="1">
      <c r="A25" s="1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ht="17.25" customHeight="1">
      <c r="A26" s="1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ht="17.25" customHeight="1">
      <c r="A27" s="1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ht="17.25" customHeight="1">
      <c r="A28" s="1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ht="17.25" customHeight="1">
      <c r="A29" s="1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ht="17.25" customHeight="1">
      <c r="A30" s="1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ht="17.25" customHeight="1">
      <c r="A31" s="1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7.25" customHeight="1">
      <c r="A32" s="1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7.25" customHeight="1">
      <c r="A33" s="1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7.25" customHeight="1">
      <c r="A34" s="1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7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7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4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7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4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7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4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7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7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7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7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7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4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7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7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7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7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4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7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4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7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4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7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4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7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7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4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7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4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7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4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7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4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7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4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7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4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7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4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7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4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7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0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ht="17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0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</row>
    <row r="62" ht="17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0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</row>
    <row r="63" ht="17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0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 ht="17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0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ht="17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0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ht="17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0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ht="17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0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ht="17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0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ht="17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0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ht="17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0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ht="17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0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17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0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ht="17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0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ht="17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0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ht="17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0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17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0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7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0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7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0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7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0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7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0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7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0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7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0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7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0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7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0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7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0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7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0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7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0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7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0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7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0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7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0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7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0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7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0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7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0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7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0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7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0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7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0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7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0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7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0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7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0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7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0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7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0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7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0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7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0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7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0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7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0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7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0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7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0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7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0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7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0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7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0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7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0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7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0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7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0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7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0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7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0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7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0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7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0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7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0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7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0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7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0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7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0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7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0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7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0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7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0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7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0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7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0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7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0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7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0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7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0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7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0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7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0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7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0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7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0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7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0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7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0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7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0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7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0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7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0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7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0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7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0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7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0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7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0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7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0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7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0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7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0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7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0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7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0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7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0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7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0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7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0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7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0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7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0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7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0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7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0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7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0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7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0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7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0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7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0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7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0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7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0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7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0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7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0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7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0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7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0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7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0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7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0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7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0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7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0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7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0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7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0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7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0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7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0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7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0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7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0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7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0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7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0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7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0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7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0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7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0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7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0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7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0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7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0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7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0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7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0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7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0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7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0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7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0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7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0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7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0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7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0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7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0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7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0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7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0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7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0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7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0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7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0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7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0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7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0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7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0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7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0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7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0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7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0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7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0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7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0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7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0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7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0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7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0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7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0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7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0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7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0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7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0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7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0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7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0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7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0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7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0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7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0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7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0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7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0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7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0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7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0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ht="17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0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ht="17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0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ht="17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0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7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0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7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0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7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0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7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0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7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0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7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0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7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0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7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0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7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0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7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0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7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0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7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0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7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0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7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0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7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0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7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0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7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0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7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0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7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0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7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0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7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0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7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0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7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0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7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0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7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0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7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0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7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0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7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0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7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0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7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0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7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0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7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0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7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0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7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0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7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0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7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0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7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0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7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0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7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0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7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0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7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0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7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0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7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0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7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0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7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0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7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0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7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0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7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0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7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0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7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0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7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0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7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0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7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0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7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0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7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0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7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0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7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0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7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0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7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0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7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0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7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0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7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0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7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0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7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0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7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0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7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0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7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0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7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0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7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0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7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0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7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0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7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0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7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0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7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0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7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0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7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0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7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0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7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0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7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0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7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0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7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0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7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0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7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0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7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0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7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0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7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0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7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0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7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0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7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0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7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0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7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0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7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0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7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0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7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0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7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0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7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0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7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0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7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0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7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0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7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0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7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0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7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0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7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0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7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0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7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0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7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0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7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0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7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0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7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0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7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0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7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0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7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0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7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0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7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0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7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0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7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0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7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0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7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0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7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0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7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0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7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0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7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0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7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0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7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0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7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0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7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0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7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0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7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0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7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0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7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0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7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0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7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0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7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0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7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0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7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0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7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0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7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0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7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0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7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0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7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0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7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0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7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0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7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0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7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0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7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0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7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0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7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0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7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0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7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0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7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0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7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0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7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0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7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0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7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0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7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0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7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0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7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0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7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0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7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0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7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0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7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0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7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0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7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0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7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0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7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0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7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0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7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0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7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0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7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0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7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0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7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0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7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0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7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0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7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0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7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0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7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0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7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0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7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0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7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0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7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0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7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0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7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0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7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0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7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0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7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0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7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0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7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0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7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0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7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0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7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0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7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0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7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0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7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0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7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0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7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0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7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0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7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0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7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0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7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0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7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0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7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0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7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0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7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0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7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0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7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0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7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00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7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00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7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00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7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0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7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00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7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00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7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00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7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00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7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0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7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0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7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00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7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00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7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00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7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00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7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00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7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00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7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00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7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00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7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00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7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00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7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00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7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00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7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00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7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00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7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00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7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00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7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00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7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00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7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00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7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00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7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00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7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00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7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00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7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00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7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00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7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00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7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00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7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00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7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00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7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00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7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00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7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00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7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00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7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00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7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00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7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00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7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00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7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00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7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00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7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00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7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00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7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00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7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00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7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00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7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00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7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00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7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00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7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00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7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00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7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00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7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00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7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00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7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00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7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00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7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00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7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00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7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00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7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00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7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00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7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00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7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00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7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00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7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00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7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00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7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00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7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00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7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00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7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00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7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00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7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00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7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00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7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00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7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00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7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00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7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00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7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00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7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00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7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00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7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00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7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00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7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00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7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00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7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00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7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00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7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00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7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00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7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00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7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00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7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00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7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00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7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00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7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00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7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00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7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00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7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00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7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00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7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00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7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00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7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00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7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00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7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00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7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00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7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00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7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00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7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00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7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00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7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00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7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00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7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00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7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00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7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00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7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00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7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00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7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00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7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00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7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00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7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00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7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00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7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00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7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00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7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00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7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00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7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00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7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00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7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00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7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00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7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00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7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00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7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00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7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00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7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00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7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00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7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00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7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00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7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00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7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00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7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00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7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00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7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00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7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00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7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00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7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00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7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00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7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00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7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00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7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00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7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00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7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00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7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00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7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00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7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00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7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00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7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00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7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00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7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00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7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00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7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00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7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00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7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00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7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00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7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00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7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00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7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00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7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00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7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00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7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00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7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00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7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00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7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00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7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00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7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00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7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00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7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00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7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00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7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00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7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00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7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00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7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00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7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00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7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00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7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00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7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00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7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00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7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00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7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00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7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00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7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00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7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00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7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00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7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00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7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00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7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00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7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00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7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00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7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00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7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00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7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00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7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00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7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00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7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00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7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00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7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00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7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00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7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00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7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00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7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00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7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00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7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00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7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00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7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00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7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00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7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00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7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00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7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00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7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00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7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00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7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00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7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00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7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00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7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00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7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00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7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00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7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00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7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00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7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00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7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00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7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00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7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00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7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00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7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00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7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00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7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00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7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00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7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00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7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00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7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00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7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00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7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00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7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00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7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00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7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00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7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00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7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00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7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00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7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00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7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00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7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00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7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00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7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00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7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00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7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00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7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00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7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00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7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00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7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00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7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00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7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00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7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00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7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00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7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00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7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00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7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00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7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00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7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00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7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00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7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00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7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00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7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00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7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00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7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00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7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00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7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00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7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00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7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00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7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00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7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00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7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00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7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00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7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00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7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00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7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00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7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00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7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00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7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00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7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00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7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00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7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00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7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00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7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00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7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00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7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00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7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00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7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00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7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00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7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00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7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00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7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00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7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00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7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00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7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00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7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00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7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00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7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00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7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00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7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00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7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00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7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00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7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00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7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00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7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00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7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00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7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00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7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00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7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00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7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00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7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00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7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00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7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00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7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00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7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00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7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00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7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00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7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00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7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00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7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00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7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00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7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00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7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00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7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00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7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00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7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00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7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00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7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00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7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00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7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00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7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00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7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00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7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00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7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00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7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00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7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00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7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00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7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00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7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00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7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00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7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00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7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00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7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00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7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00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7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00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7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00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7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00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7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00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7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00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7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00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7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00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7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00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7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00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7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00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7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00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7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00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7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00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7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00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7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00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7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00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7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00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7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00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7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00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7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00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7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00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7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00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7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00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7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00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7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00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7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00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7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00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7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00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7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00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7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00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7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00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7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00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7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00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7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00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7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00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7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00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7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00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7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00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7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00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7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00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7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00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7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00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7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00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7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00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7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00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7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00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7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00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7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00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7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00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7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00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7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00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7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00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7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00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7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00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7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00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7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00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7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00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7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00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7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00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7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00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7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00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7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00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7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00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7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00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7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00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7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00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7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00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7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00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7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00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7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00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7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00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7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00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7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00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7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00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7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00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7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00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7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00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7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00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7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00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7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00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7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00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7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00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7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00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7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00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7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00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7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00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7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00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7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00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7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00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7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00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7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00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7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00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7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00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7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00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7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00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7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00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7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00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7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00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7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00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7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00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7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00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7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00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7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00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7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00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7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00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7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00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7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00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7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00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7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00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7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00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7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00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7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00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7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00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7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00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7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00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7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00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7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00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7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00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7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00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7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00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7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00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7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00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7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00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7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00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7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00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7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00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7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00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7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00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7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00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7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00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7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00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7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00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7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00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7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00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7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00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7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00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7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00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7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00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7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00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7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00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7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00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7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00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7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00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7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00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7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00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7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00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7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00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7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00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7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00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7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00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7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00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7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00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7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00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7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00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7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00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7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00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7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00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7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00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7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00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7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00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7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00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7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00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7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00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7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00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7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00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7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00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7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00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7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00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7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00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7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00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7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00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7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00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7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00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7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00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7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00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7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00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7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00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7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00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7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00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7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00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7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00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7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00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7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00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7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00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7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00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7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00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7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00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7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00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7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00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7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00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7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00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7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00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7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00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7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00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7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00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7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00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7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00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7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00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7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00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7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00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7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00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7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00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7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00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7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00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7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00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7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00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7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00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7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00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ht="17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00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  <row r="997" ht="17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00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</row>
    <row r="998" ht="17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00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</row>
    <row r="999" ht="17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00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</row>
    <row r="1000" ht="17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00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</row>
  </sheetData>
  <mergeCells count="48">
    <mergeCell ref="I17:J17"/>
    <mergeCell ref="K17:N17"/>
    <mergeCell ref="B16:E16"/>
    <mergeCell ref="F16:G16"/>
    <mergeCell ref="I16:J16"/>
    <mergeCell ref="K16:N16"/>
    <mergeCell ref="O16:R16"/>
    <mergeCell ref="F17:G17"/>
    <mergeCell ref="O17:R17"/>
    <mergeCell ref="J7:K7"/>
    <mergeCell ref="J8:K8"/>
    <mergeCell ref="B1:R2"/>
    <mergeCell ref="D6:F6"/>
    <mergeCell ref="J6:K6"/>
    <mergeCell ref="Q6:R6"/>
    <mergeCell ref="D7:F7"/>
    <mergeCell ref="N7:R7"/>
    <mergeCell ref="N8:R8"/>
    <mergeCell ref="I14:J14"/>
    <mergeCell ref="K14:N14"/>
    <mergeCell ref="O14:R14"/>
    <mergeCell ref="J9:R9"/>
    <mergeCell ref="E10:R10"/>
    <mergeCell ref="E11:R11"/>
    <mergeCell ref="E12:R12"/>
    <mergeCell ref="I13:J13"/>
    <mergeCell ref="K13:N13"/>
    <mergeCell ref="O13:R13"/>
    <mergeCell ref="B15:E15"/>
    <mergeCell ref="F15:G15"/>
    <mergeCell ref="I15:J15"/>
    <mergeCell ref="K15:N15"/>
    <mergeCell ref="O15:R15"/>
    <mergeCell ref="D8:F8"/>
    <mergeCell ref="D9:F9"/>
    <mergeCell ref="B11:D11"/>
    <mergeCell ref="B13:E13"/>
    <mergeCell ref="F13:G13"/>
    <mergeCell ref="B14:E14"/>
    <mergeCell ref="F14:G14"/>
    <mergeCell ref="B19:C22"/>
    <mergeCell ref="B17:E17"/>
    <mergeCell ref="B18:E18"/>
    <mergeCell ref="F18:G18"/>
    <mergeCell ref="I18:J18"/>
    <mergeCell ref="K18:N18"/>
    <mergeCell ref="O18:R18"/>
    <mergeCell ref="D19:R22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6.25"/>
    <col customWidth="1" min="3" max="3" width="15.38"/>
    <col customWidth="1" min="4" max="4" width="6.25"/>
    <col customWidth="1" min="5" max="5" width="8.0"/>
    <col customWidth="1" min="6" max="6" width="10.0"/>
    <col customWidth="1" min="7" max="7" width="12.0"/>
    <col customWidth="1" min="8" max="8" width="10.38"/>
    <col customWidth="1" min="9" max="9" width="12.38"/>
    <col customWidth="1" min="10" max="10" width="10.25"/>
    <col customWidth="1" min="11" max="11" width="12.63"/>
    <col customWidth="1" min="12" max="12" width="9.38"/>
    <col customWidth="1" min="13" max="13" width="15.0"/>
    <col customWidth="1" min="14" max="14" width="9.5"/>
    <col customWidth="1" min="15" max="16" width="7.63"/>
    <col customWidth="1" min="17" max="17" width="6.88"/>
    <col customWidth="1" min="18" max="26" width="7.63"/>
  </cols>
  <sheetData>
    <row r="1" ht="30.0" customHeight="1">
      <c r="A1" s="1"/>
      <c r="D1" s="1"/>
      <c r="E1" s="1"/>
      <c r="F1" s="1"/>
    </row>
    <row r="2" ht="30.0" customHeight="1">
      <c r="A2" s="1"/>
      <c r="D2" s="1"/>
      <c r="E2" s="1"/>
      <c r="F2" s="1"/>
    </row>
    <row r="3" ht="30.0" customHeight="1">
      <c r="A3" s="1"/>
      <c r="B3" s="101" t="s">
        <v>37</v>
      </c>
      <c r="C3" s="102" t="s">
        <v>38</v>
      </c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4"/>
    </row>
    <row r="4" ht="15.0" customHeight="1">
      <c r="A4" s="1"/>
      <c r="D4" s="1"/>
      <c r="E4" s="1"/>
      <c r="F4" s="1"/>
    </row>
    <row r="5" ht="31.5" customHeight="1">
      <c r="A5" s="1"/>
      <c r="B5" s="105" t="s">
        <v>25</v>
      </c>
      <c r="C5" s="106" t="s">
        <v>26</v>
      </c>
      <c r="D5" s="106" t="s">
        <v>39</v>
      </c>
      <c r="E5" s="106" t="s">
        <v>27</v>
      </c>
      <c r="F5" s="107" t="s">
        <v>40</v>
      </c>
      <c r="G5" s="108"/>
      <c r="H5" s="109" t="s">
        <v>41</v>
      </c>
      <c r="I5" s="110"/>
      <c r="J5" s="107" t="s">
        <v>42</v>
      </c>
      <c r="K5" s="108"/>
      <c r="L5" s="109" t="s">
        <v>43</v>
      </c>
      <c r="M5" s="110"/>
      <c r="N5" s="111" t="s">
        <v>30</v>
      </c>
    </row>
    <row r="6" ht="30.75" customHeight="1">
      <c r="A6" s="1"/>
      <c r="B6" s="112"/>
      <c r="C6" s="113"/>
      <c r="D6" s="113"/>
      <c r="E6" s="113"/>
      <c r="F6" s="114" t="s">
        <v>28</v>
      </c>
      <c r="G6" s="114" t="s">
        <v>29</v>
      </c>
      <c r="H6" s="114" t="s">
        <v>28</v>
      </c>
      <c r="I6" s="113" t="s">
        <v>29</v>
      </c>
      <c r="J6" s="114" t="s">
        <v>28</v>
      </c>
      <c r="K6" s="114" t="s">
        <v>29</v>
      </c>
      <c r="L6" s="115" t="s">
        <v>28</v>
      </c>
      <c r="M6" s="116" t="s">
        <v>29</v>
      </c>
      <c r="N6" s="117"/>
      <c r="O6" s="1"/>
      <c r="P6" s="1"/>
      <c r="Q6" s="1"/>
      <c r="R6" s="1"/>
    </row>
    <row r="7" ht="30.0" customHeight="1">
      <c r="A7" s="1"/>
      <c r="B7" s="118" t="s">
        <v>44</v>
      </c>
      <c r="C7" s="119"/>
      <c r="D7" s="120" t="s">
        <v>45</v>
      </c>
      <c r="E7" s="121">
        <v>100.0</v>
      </c>
      <c r="F7" s="122">
        <v>300.0</v>
      </c>
      <c r="G7" s="121">
        <f>E7*F7</f>
        <v>30000</v>
      </c>
      <c r="H7" s="122">
        <v>700.0</v>
      </c>
      <c r="I7" s="121">
        <f>H7*E7</f>
        <v>70000</v>
      </c>
      <c r="J7" s="122"/>
      <c r="K7" s="122"/>
      <c r="L7" s="123">
        <f>J7+H7+F7</f>
        <v>1000</v>
      </c>
      <c r="M7" s="121">
        <f t="shared" ref="M7:M17" si="1">SUM(K7+I7+G7)</f>
        <v>100000</v>
      </c>
      <c r="N7" s="120"/>
    </row>
    <row r="8" ht="17.25" customHeight="1">
      <c r="A8" s="1"/>
      <c r="B8" s="124" t="s">
        <v>46</v>
      </c>
      <c r="C8" s="119"/>
      <c r="D8" s="125" t="s">
        <v>31</v>
      </c>
      <c r="E8" s="121">
        <v>1.0</v>
      </c>
      <c r="F8" s="122"/>
      <c r="G8" s="121"/>
      <c r="H8" s="122"/>
      <c r="I8" s="121"/>
      <c r="J8" s="122"/>
      <c r="K8" s="122"/>
      <c r="L8" s="123">
        <f>SUM(K8+I8+G8)</f>
        <v>0</v>
      </c>
      <c r="M8" s="121">
        <f t="shared" si="1"/>
        <v>0</v>
      </c>
      <c r="N8" s="120"/>
    </row>
    <row r="9" ht="30.0" customHeight="1">
      <c r="A9" s="1"/>
      <c r="B9" s="126" t="s">
        <v>47</v>
      </c>
      <c r="C9" s="127"/>
      <c r="D9" s="120" t="s">
        <v>45</v>
      </c>
      <c r="E9" s="121">
        <v>100.0</v>
      </c>
      <c r="F9" s="122">
        <v>700.0</v>
      </c>
      <c r="G9" s="121">
        <f t="shared" ref="G9:G14" si="2">E9*F9</f>
        <v>70000</v>
      </c>
      <c r="H9" s="122">
        <v>1300.0</v>
      </c>
      <c r="I9" s="121">
        <f t="shared" ref="I9:I14" si="3">H9*E9</f>
        <v>130000</v>
      </c>
      <c r="J9" s="122"/>
      <c r="K9" s="122"/>
      <c r="L9" s="123">
        <f t="shared" ref="L9:L14" si="4">J9+H9+F9</f>
        <v>2000</v>
      </c>
      <c r="M9" s="121">
        <f t="shared" si="1"/>
        <v>200000</v>
      </c>
      <c r="N9" s="120"/>
    </row>
    <row r="10" ht="30.0" customHeight="1">
      <c r="A10" s="1"/>
      <c r="B10" s="128" t="s">
        <v>48</v>
      </c>
      <c r="C10" s="127" t="s">
        <v>49</v>
      </c>
      <c r="D10" s="120" t="s">
        <v>45</v>
      </c>
      <c r="E10" s="121">
        <v>100.0</v>
      </c>
      <c r="F10" s="122">
        <v>9000.0</v>
      </c>
      <c r="G10" s="121">
        <f t="shared" si="2"/>
        <v>900000</v>
      </c>
      <c r="H10" s="122">
        <v>5000.0</v>
      </c>
      <c r="I10" s="121">
        <f t="shared" si="3"/>
        <v>500000</v>
      </c>
      <c r="J10" s="122">
        <v>500.0</v>
      </c>
      <c r="K10" s="121">
        <f>J10*E10</f>
        <v>50000</v>
      </c>
      <c r="L10" s="123">
        <f t="shared" si="4"/>
        <v>14500</v>
      </c>
      <c r="M10" s="121">
        <f t="shared" si="1"/>
        <v>1450000</v>
      </c>
      <c r="N10" s="120"/>
    </row>
    <row r="11" ht="17.25" customHeight="1">
      <c r="A11" s="1"/>
      <c r="B11" s="128" t="s">
        <v>50</v>
      </c>
      <c r="C11" s="127"/>
      <c r="D11" s="120" t="s">
        <v>45</v>
      </c>
      <c r="E11" s="121">
        <v>100.0</v>
      </c>
      <c r="F11" s="122">
        <v>1200.0</v>
      </c>
      <c r="G11" s="121">
        <f t="shared" si="2"/>
        <v>120000</v>
      </c>
      <c r="H11" s="122">
        <v>1400.0</v>
      </c>
      <c r="I11" s="121">
        <f t="shared" si="3"/>
        <v>140000</v>
      </c>
      <c r="J11" s="122"/>
      <c r="K11" s="122"/>
      <c r="L11" s="123">
        <f t="shared" si="4"/>
        <v>2600</v>
      </c>
      <c r="M11" s="121">
        <f t="shared" si="1"/>
        <v>260000</v>
      </c>
      <c r="N11" s="120"/>
    </row>
    <row r="12" ht="30.0" customHeight="1">
      <c r="A12" s="1"/>
      <c r="B12" s="126" t="s">
        <v>51</v>
      </c>
      <c r="C12" s="127" t="s">
        <v>52</v>
      </c>
      <c r="D12" s="120" t="s">
        <v>45</v>
      </c>
      <c r="E12" s="121">
        <v>100.0</v>
      </c>
      <c r="F12" s="122">
        <v>6000.0</v>
      </c>
      <c r="G12" s="121">
        <f t="shared" si="2"/>
        <v>600000</v>
      </c>
      <c r="H12" s="122">
        <v>4000.0</v>
      </c>
      <c r="I12" s="121">
        <f t="shared" si="3"/>
        <v>400000</v>
      </c>
      <c r="J12" s="122">
        <v>400.0</v>
      </c>
      <c r="K12" s="121">
        <f>J12*E12</f>
        <v>40000</v>
      </c>
      <c r="L12" s="123">
        <f t="shared" si="4"/>
        <v>10400</v>
      </c>
      <c r="M12" s="121">
        <f t="shared" si="1"/>
        <v>1040000</v>
      </c>
      <c r="N12" s="120"/>
    </row>
    <row r="13" ht="30.0" customHeight="1">
      <c r="B13" s="126" t="s">
        <v>53</v>
      </c>
      <c r="C13" s="127" t="s">
        <v>54</v>
      </c>
      <c r="D13" s="120" t="s">
        <v>45</v>
      </c>
      <c r="E13" s="121"/>
      <c r="F13" s="122">
        <v>4500.0</v>
      </c>
      <c r="G13" s="121">
        <f t="shared" si="2"/>
        <v>0</v>
      </c>
      <c r="H13" s="122">
        <v>4500.0</v>
      </c>
      <c r="I13" s="121">
        <f t="shared" si="3"/>
        <v>0</v>
      </c>
      <c r="J13" s="122"/>
      <c r="K13" s="121"/>
      <c r="L13" s="123">
        <f t="shared" si="4"/>
        <v>9000</v>
      </c>
      <c r="M13" s="121">
        <f t="shared" si="1"/>
        <v>0</v>
      </c>
      <c r="N13" s="120"/>
    </row>
    <row r="14" ht="30.0" customHeight="1">
      <c r="B14" s="126" t="s">
        <v>55</v>
      </c>
      <c r="C14" s="127" t="s">
        <v>56</v>
      </c>
      <c r="D14" s="120" t="s">
        <v>45</v>
      </c>
      <c r="E14" s="121">
        <v>100.0</v>
      </c>
      <c r="F14" s="122">
        <v>2000.0</v>
      </c>
      <c r="G14" s="121">
        <f t="shared" si="2"/>
        <v>200000</v>
      </c>
      <c r="H14" s="122">
        <v>1500.0</v>
      </c>
      <c r="I14" s="121">
        <f t="shared" si="3"/>
        <v>150000</v>
      </c>
      <c r="J14" s="122"/>
      <c r="K14" s="122"/>
      <c r="L14" s="123">
        <f t="shared" si="4"/>
        <v>3500</v>
      </c>
      <c r="M14" s="121">
        <f t="shared" si="1"/>
        <v>350000</v>
      </c>
      <c r="N14" s="120"/>
    </row>
    <row r="15" ht="30.0" customHeight="1">
      <c r="B15" s="126" t="s">
        <v>57</v>
      </c>
      <c r="C15" s="127"/>
      <c r="D15" s="120" t="s">
        <v>58</v>
      </c>
      <c r="E15" s="121">
        <v>1.0</v>
      </c>
      <c r="F15" s="121"/>
      <c r="G15" s="121"/>
      <c r="H15" s="121"/>
      <c r="I15" s="121"/>
      <c r="J15" s="121"/>
      <c r="K15" s="121">
        <v>120000.0</v>
      </c>
      <c r="L15" s="123">
        <f t="shared" ref="L15:L17" si="5">SUM(K15+I15+G15)</f>
        <v>120000</v>
      </c>
      <c r="M15" s="121">
        <f t="shared" si="1"/>
        <v>120000</v>
      </c>
      <c r="N15" s="120"/>
    </row>
    <row r="16" ht="30.0" customHeight="1">
      <c r="B16" s="126" t="s">
        <v>59</v>
      </c>
      <c r="C16" s="127"/>
      <c r="D16" s="120" t="s">
        <v>60</v>
      </c>
      <c r="E16" s="121">
        <v>1.0</v>
      </c>
      <c r="F16" s="121"/>
      <c r="G16" s="121"/>
      <c r="H16" s="121"/>
      <c r="I16" s="121"/>
      <c r="J16" s="121"/>
      <c r="K16" s="121"/>
      <c r="L16" s="123">
        <f t="shared" si="5"/>
        <v>0</v>
      </c>
      <c r="M16" s="121">
        <f t="shared" si="1"/>
        <v>0</v>
      </c>
      <c r="N16" s="120"/>
    </row>
    <row r="17" ht="30.0" customHeight="1">
      <c r="B17" s="126" t="s">
        <v>61</v>
      </c>
      <c r="C17" s="127"/>
      <c r="D17" s="120" t="s">
        <v>62</v>
      </c>
      <c r="E17" s="121">
        <v>1.0</v>
      </c>
      <c r="F17" s="121"/>
      <c r="G17" s="121"/>
      <c r="H17" s="121"/>
      <c r="I17" s="121"/>
      <c r="J17" s="121"/>
      <c r="K17" s="121"/>
      <c r="L17" s="123">
        <f t="shared" si="5"/>
        <v>0</v>
      </c>
      <c r="M17" s="121">
        <f t="shared" si="1"/>
        <v>0</v>
      </c>
      <c r="N17" s="120"/>
    </row>
    <row r="18" ht="30.0" customHeight="1">
      <c r="B18" s="129" t="s">
        <v>63</v>
      </c>
      <c r="C18" s="130"/>
      <c r="D18" s="131"/>
      <c r="E18" s="132"/>
      <c r="F18" s="132"/>
      <c r="G18" s="133">
        <f>SUM(G7:G17)</f>
        <v>1920000</v>
      </c>
      <c r="H18" s="134"/>
      <c r="I18" s="133">
        <f>SUM(I7:I17)</f>
        <v>1390000</v>
      </c>
      <c r="J18" s="132"/>
      <c r="K18" s="133">
        <f>SUM(K7:K17)</f>
        <v>210000</v>
      </c>
      <c r="L18" s="132"/>
      <c r="M18" s="132">
        <f>SUM(M7:M17)</f>
        <v>3520000</v>
      </c>
      <c r="N18" s="135"/>
    </row>
    <row r="19" ht="17.25" customHeight="1">
      <c r="B19" s="136" t="s">
        <v>64</v>
      </c>
      <c r="C19" s="127"/>
      <c r="D19" s="120" t="s">
        <v>65</v>
      </c>
      <c r="E19" s="121">
        <v>3.0</v>
      </c>
      <c r="F19" s="121"/>
      <c r="G19" s="121"/>
      <c r="H19" s="121"/>
      <c r="I19" s="121"/>
      <c r="J19" s="121"/>
      <c r="K19" s="121"/>
      <c r="L19" s="123"/>
      <c r="M19" s="121">
        <f>M18*0.03</f>
        <v>105600</v>
      </c>
      <c r="N19" s="120"/>
    </row>
    <row r="20" ht="30.0" customHeight="1">
      <c r="B20" s="63" t="s">
        <v>66</v>
      </c>
      <c r="C20" s="127"/>
      <c r="D20" s="120" t="s">
        <v>65</v>
      </c>
      <c r="E20" s="121">
        <v>6.0</v>
      </c>
      <c r="F20" s="121"/>
      <c r="G20" s="121"/>
      <c r="H20" s="121"/>
      <c r="I20" s="121"/>
      <c r="J20" s="121"/>
      <c r="K20" s="121"/>
      <c r="L20" s="123"/>
      <c r="M20" s="121">
        <f>M18*0.06</f>
        <v>211200</v>
      </c>
      <c r="N20" s="120"/>
    </row>
    <row r="21" ht="30.0" customHeight="1">
      <c r="B21" s="137" t="s">
        <v>67</v>
      </c>
      <c r="C21" s="138"/>
      <c r="D21" s="135"/>
      <c r="E21" s="135"/>
      <c r="F21" s="139"/>
      <c r="G21" s="133"/>
      <c r="H21" s="135"/>
      <c r="I21" s="133"/>
      <c r="J21" s="135"/>
      <c r="K21" s="133"/>
      <c r="L21" s="135"/>
      <c r="M21" s="133">
        <f>SUM(M18:M20)</f>
        <v>3836800</v>
      </c>
      <c r="N21" s="135"/>
    </row>
    <row r="22" ht="30.0" customHeight="1">
      <c r="B22" s="140" t="s">
        <v>68</v>
      </c>
      <c r="C22" s="141"/>
      <c r="D22" s="135"/>
      <c r="E22" s="135"/>
      <c r="F22" s="139"/>
      <c r="G22" s="135"/>
      <c r="H22" s="135"/>
      <c r="I22" s="135"/>
      <c r="J22" s="135"/>
      <c r="K22" s="135"/>
      <c r="L22" s="135"/>
      <c r="M22" s="142">
        <f>FLOOR(M21, 100000)</f>
        <v>3800000</v>
      </c>
      <c r="N22" s="143" t="s">
        <v>69</v>
      </c>
    </row>
    <row r="23" ht="27.0" customHeight="1"/>
    <row r="24" ht="17.25" customHeight="1"/>
    <row r="25" ht="27.75" customHeight="1"/>
    <row r="26" ht="24.0" customHeight="1"/>
    <row r="27" ht="25.5" customHeight="1"/>
    <row r="28" ht="17.25" customHeight="1"/>
    <row r="29" ht="24.0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5">
    <mergeCell ref="C3:N3"/>
    <mergeCell ref="F5:G5"/>
    <mergeCell ref="H5:I5"/>
    <mergeCell ref="J5:K5"/>
    <mergeCell ref="L5:M5"/>
  </mergeCells>
  <printOptions/>
  <pageMargins bottom="0.75" footer="0.0" header="0.0" left="0.7" right="0.7" top="0.75"/>
  <pageSetup paperSize="9" scale="71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7.25" customHeight="1">
      <c r="A1" s="144">
        <v>202504.0</v>
      </c>
    </row>
    <row r="2" ht="17.25" customHeight="1">
      <c r="A2" s="144">
        <v>1.0</v>
      </c>
    </row>
    <row r="3" ht="17.25" customHeight="1"/>
    <row r="4" ht="17.25" customHeight="1"/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2025-04-06T12:41:57Z</dcterms:created>
  <dc:creator>박민우</dc:creator>
</cp:coreProperties>
</file>