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100평^F200평 미만/"/>
    </mc:Choice>
  </mc:AlternateContent>
  <xr:revisionPtr revIDLastSave="27" documentId="8_{1FEFA2B2-563A-49A2-8B82-D5CDA8A4FE26}" xr6:coauthVersionLast="47" xr6:coauthVersionMax="47" xr10:uidLastSave="{503F5E08-98AE-4439-A4C7-9AF125987845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M17" i="3"/>
  <c r="L17" i="3"/>
  <c r="M16" i="3"/>
  <c r="L16" i="3"/>
  <c r="M15" i="3"/>
  <c r="L15" i="3"/>
  <c r="L14" i="3"/>
  <c r="I14" i="3"/>
  <c r="G14" i="3"/>
  <c r="L13" i="3"/>
  <c r="K13" i="3"/>
  <c r="I13" i="3"/>
  <c r="G13" i="3"/>
  <c r="L12" i="3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M8" i="3"/>
  <c r="L8" i="3"/>
  <c r="L7" i="3"/>
  <c r="I7" i="3"/>
  <c r="G7" i="3"/>
  <c r="M7" i="3" l="1"/>
  <c r="M9" i="3"/>
  <c r="M11" i="3"/>
  <c r="M13" i="3"/>
  <c r="M14" i="3"/>
  <c r="M10" i="3"/>
  <c r="M12" i="3"/>
  <c r="K18" i="3"/>
  <c r="G18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<sst xmlns="http://schemas.openxmlformats.org/spreadsheetml/2006/main" count="90" uniqueCount="70">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</sst>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5" fillId="0" borderId="0"/>
  </cellStyleXfs>
  <cellXfs count="147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63BE3308-39EA-4351-B15A-D12A6AD02442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3BF49D70-A824-4745-915C-367F362C9A5F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3D82DC4-0403-466B-BB53-9852A9A1A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AEA48B28-5DC1-4493-811F-A1A5E5DF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5E2B-7AAA-4F58-A744-2665BA0C7588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삼백육십만 원정(₩3,600,000)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1" t="str">
        <f>Sheet2!C3</f>
        <v>옥상 이중복합방수 3.8mm (제 1안)</v>
      </c>
      <c r="C14" s="29"/>
      <c r="D14" s="29"/>
      <c r="E14" s="30"/>
      <c r="F14" s="90" t="s">
        <v>28</v>
      </c>
      <c r="G14" s="91"/>
      <c r="H14" s="92">
        <v>1</v>
      </c>
      <c r="I14" s="93"/>
      <c r="J14" s="94"/>
      <c r="K14" s="32">
        <f>Sheet2!M21</f>
        <v>3618800</v>
      </c>
      <c r="L14" s="29"/>
      <c r="M14" s="29"/>
      <c r="N14" s="30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33">
        <f>Sheet2!M22</f>
        <v>3600000</v>
      </c>
      <c r="L18" s="29"/>
      <c r="M18" s="29"/>
      <c r="N18" s="30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6" sqref="B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0" t="s">
        <v>32</v>
      </c>
      <c r="I5" s="142"/>
      <c r="J5" s="140" t="s">
        <v>33</v>
      </c>
      <c r="K5" s="142"/>
      <c r="L5" s="140" t="s">
        <v>37</v>
      </c>
      <c r="M5" s="142"/>
      <c r="N5" s="145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4" t="s">
        <v>25</v>
      </c>
      <c r="I6" s="143" t="s">
        <v>26</v>
      </c>
      <c r="J6" s="144" t="s">
        <v>25</v>
      </c>
      <c r="K6" s="143" t="s">
        <v>26</v>
      </c>
      <c r="L6" s="144" t="s">
        <v>25</v>
      </c>
      <c r="M6" s="141" t="s">
        <v>26</v>
      </c>
      <c r="N6" s="146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4" si="0">E9*F9</f>
        <v>70000</v>
      </c>
      <c r="H9" s="4">
        <v>1300</v>
      </c>
      <c r="I9" s="3">
        <f t="shared" ref="I9:I14" si="1">H9*E9</f>
        <v>130000</v>
      </c>
      <c r="J9" s="4"/>
      <c r="K9" s="4"/>
      <c r="L9" s="5">
        <f t="shared" ref="L9:L14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8800</v>
      </c>
      <c r="G10" s="3">
        <f t="shared" si="0"/>
        <v>880000</v>
      </c>
      <c r="H10" s="4">
        <v>5000</v>
      </c>
      <c r="I10" s="3">
        <f t="shared" si="1"/>
        <v>500000</v>
      </c>
      <c r="J10" s="4">
        <v>300</v>
      </c>
      <c r="K10" s="3">
        <f>J10*E10</f>
        <v>30000</v>
      </c>
      <c r="L10" s="5">
        <f t="shared" si="2"/>
        <v>14100</v>
      </c>
      <c r="M10" s="3">
        <f t="shared" si="3"/>
        <v>1410000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1100</v>
      </c>
      <c r="G11" s="3">
        <f t="shared" si="0"/>
        <v>110000</v>
      </c>
      <c r="H11" s="4">
        <v>1200</v>
      </c>
      <c r="I11" s="3">
        <f t="shared" si="1"/>
        <v>120000</v>
      </c>
      <c r="J11" s="4"/>
      <c r="K11" s="4"/>
      <c r="L11" s="5">
        <f t="shared" si="2"/>
        <v>2300</v>
      </c>
      <c r="M11" s="3">
        <f t="shared" si="3"/>
        <v>230000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4800</v>
      </c>
      <c r="G12" s="3">
        <f t="shared" si="0"/>
        <v>480000</v>
      </c>
      <c r="H12" s="4">
        <v>4000</v>
      </c>
      <c r="I12" s="3">
        <f t="shared" si="1"/>
        <v>400000</v>
      </c>
      <c r="J12" s="4">
        <v>300</v>
      </c>
      <c r="K12" s="3">
        <f>J12*E12</f>
        <v>30000</v>
      </c>
      <c r="L12" s="5">
        <f t="shared" si="2"/>
        <v>9100</v>
      </c>
      <c r="M12" s="3">
        <f t="shared" si="3"/>
        <v>910000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4500</v>
      </c>
      <c r="G13" s="3">
        <f t="shared" si="0"/>
        <v>0</v>
      </c>
      <c r="H13" s="4">
        <v>4500</v>
      </c>
      <c r="I13" s="3">
        <f t="shared" si="1"/>
        <v>0</v>
      </c>
      <c r="J13" s="4">
        <v>500</v>
      </c>
      <c r="K13" s="3">
        <f>J13*E13</f>
        <v>0</v>
      </c>
      <c r="L13" s="5">
        <f t="shared" si="2"/>
        <v>9500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1770000</v>
      </c>
      <c r="H18" s="20"/>
      <c r="I18" s="9">
        <f>SUM(I7:I17)</f>
        <v>1370000</v>
      </c>
      <c r="J18" s="2"/>
      <c r="K18" s="9">
        <f>SUM(K7:K17)</f>
        <v>180000</v>
      </c>
      <c r="L18" s="2"/>
      <c r="M18" s="2">
        <f>SUM(M7:M17)</f>
        <v>3320000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99600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199200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3618800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3600000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2026-03-09T05:06:55Z</dcterms:modified>
  <cp:category/>
  <cp:contentStatus/>
</cp:coreProperties>
</file>