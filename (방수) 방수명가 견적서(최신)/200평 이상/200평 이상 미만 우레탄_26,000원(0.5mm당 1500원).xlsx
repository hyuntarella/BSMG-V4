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M\Desktop\"/>
    </mc:Choice>
  </mc:AlternateContent>
  <xr:revisionPtr revIDLastSave="0" documentId="13_ncr:1_{411DCF71-F31D-49FF-85AC-174106AD1663}" xr6:coauthVersionLast="47" xr6:coauthVersionMax="47" xr10:uidLastSave="{00000000-0000-0000-0000-000000000000}"/>
  <bookViews>
    <workbookView xWindow="11190" yWindow="4440" windowWidth="21600" windowHeight="11295" firstSheet="1" activeTab="1" xr2:uid="{00000000-000D-0000-FFFF-FFFF00000000}"/>
  </bookViews>
  <sheets>
    <sheet name="Sheet1 (2)" sheetId="5" r:id="rId1"/>
    <sheet name="Sheet2" sheetId="3" r:id="rId2"/>
    <sheet name="Config" sheetId="4" state="hidden" r:id="rId3"/>
  </sheets>
  <definedNames>
    <definedName name="_xlnm.Print_Area" localSheetId="0">'Sheet1 (2)'!$B$1:$R$26</definedName>
    <definedName name="_xlnm.Print_Area" localSheetId="1">Sheet2!$B$1:$N$23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5" l="1"/>
  <c r="L12" i="3"/>
  <c r="I12" i="3"/>
  <c r="G12" i="3"/>
  <c r="L13" i="3"/>
  <c r="I13" i="3"/>
  <c r="G13" i="3"/>
  <c r="G10" i="3"/>
  <c r="I10" i="3"/>
  <c r="K10" i="3"/>
  <c r="L10" i="3"/>
  <c r="G11" i="3"/>
  <c r="I11" i="3"/>
  <c r="K11" i="3"/>
  <c r="L11" i="3"/>
  <c r="L9" i="3"/>
  <c r="I9" i="3"/>
  <c r="G9" i="3"/>
  <c r="M13" i="3" l="1"/>
  <c r="M10" i="3"/>
  <c r="M12" i="3"/>
  <c r="M11" i="3"/>
  <c r="M9" i="3"/>
  <c r="L16" i="3"/>
  <c r="L15" i="3"/>
  <c r="L14" i="3"/>
  <c r="L8" i="3"/>
  <c r="M16" i="3" l="1"/>
  <c r="M15" i="3"/>
  <c r="M14" i="3"/>
  <c r="M8" i="3"/>
  <c r="L7" i="3" l="1"/>
  <c r="I7" i="3"/>
  <c r="G7" i="3"/>
  <c r="M7" i="3" l="1"/>
  <c r="G18" i="3" l="1"/>
  <c r="I18" i="3"/>
  <c r="K18" i="3"/>
  <c r="M18" i="3" l="1"/>
  <c r="M20" i="3" s="1"/>
  <c r="M19" i="3" l="1"/>
  <c r="M21" i="3" s="1"/>
  <c r="K14" i="5" s="1"/>
  <c r="M22" i="3" l="1"/>
  <c r="K18" i="5" s="1"/>
  <c r="E11" i="5" s="1"/>
</calcChain>
</file>

<file path=xl/sharedStrings.xml><?xml version="1.0" encoding="utf-8"?>
<sst xmlns="http://schemas.openxmlformats.org/spreadsheetml/2006/main" count="90" uniqueCount="71">
  <si>
    <t xml:space="preserve">       견 적 서</t>
  </si>
  <si>
    <t>공급자</t>
  </si>
  <si>
    <t xml:space="preserve">  관리번호</t>
  </si>
  <si>
    <t xml:space="preserve">  등록 번호</t>
  </si>
  <si>
    <t>642-87-03286</t>
  </si>
  <si>
    <t xml:space="preserve">  상호(법인명)</t>
  </si>
  <si>
    <t>(주)부성에이티</t>
  </si>
  <si>
    <t xml:space="preserve">  성 명</t>
  </si>
  <si>
    <t>손지우</t>
  </si>
  <si>
    <t xml:space="preserve">  견 적 일</t>
  </si>
  <si>
    <t xml:space="preserve">  업 태</t>
  </si>
  <si>
    <t>건설업</t>
  </si>
  <si>
    <t xml:space="preserve">  종 목</t>
  </si>
  <si>
    <t>방수, 도장, 조적 외</t>
  </si>
  <si>
    <t xml:space="preserve">  주 소</t>
  </si>
  <si>
    <r>
      <rPr>
        <sz val="12"/>
        <color theme="1"/>
        <rFont val="Malgun Gothic"/>
        <family val="3"/>
        <charset val="129"/>
      </rPr>
      <t>귀하</t>
    </r>
    <phoneticPr fontId="5" type="noConversion"/>
  </si>
  <si>
    <t xml:space="preserve">  전화번호</t>
  </si>
  <si>
    <t>010.5379.3587</t>
    <phoneticPr fontId="5" type="noConversion"/>
  </si>
  <si>
    <t xml:space="preserve">  FAX</t>
  </si>
  <si>
    <t>02.3012.3587</t>
  </si>
  <si>
    <t xml:space="preserve">  공 사 명</t>
  </si>
  <si>
    <t>방수공사</t>
  </si>
  <si>
    <t xml:space="preserve">  사업장 주소</t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</si>
  <si>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서초구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신반포로</t>
    </r>
    <r>
      <rPr>
        <sz val="12"/>
        <color theme="1"/>
        <rFont val="Arial"/>
        <family val="3"/>
      </rPr>
      <t>45</t>
    </r>
    <r>
      <rPr>
        <sz val="12"/>
        <color theme="1"/>
        <rFont val="맑은 고딕"/>
        <family val="3"/>
        <charset val="129"/>
      </rPr>
      <t>길</t>
    </r>
    <r>
      <rPr>
        <sz val="12"/>
        <color theme="1"/>
        <rFont val="Arial"/>
        <family val="3"/>
      </rPr>
      <t xml:space="preserve"> 26, 404</t>
    </r>
    <r>
      <rPr>
        <sz val="12"/>
        <color theme="1"/>
        <rFont val="맑은 고딕"/>
        <family val="3"/>
        <charset val="129"/>
      </rPr>
      <t>호</t>
    </r>
    <r>
      <rPr>
        <sz val="12"/>
        <color theme="1"/>
        <rFont val="Arial"/>
        <family val="3"/>
      </rPr>
      <t>(</t>
    </r>
    <r>
      <rPr>
        <sz val="12"/>
        <color theme="1"/>
        <rFont val="맑은 고딕"/>
        <family val="3"/>
        <charset val="129"/>
      </rPr>
      <t>잠원동</t>
    </r>
    <r>
      <rPr>
        <sz val="12"/>
        <color theme="1"/>
        <rFont val="Arial"/>
        <family val="3"/>
      </rPr>
      <t xml:space="preserve">, </t>
    </r>
    <r>
      <rPr>
        <sz val="12"/>
        <color theme="1"/>
        <rFont val="맑은 고딕"/>
        <family val="3"/>
        <charset val="129"/>
      </rPr>
      <t>동화빌딩</t>
    </r>
    <r>
      <rPr>
        <sz val="12"/>
        <color theme="1"/>
        <rFont val="Arial"/>
        <family val="3"/>
      </rPr>
      <t>)</t>
    </r>
    <phoneticPr fontId="5" type="noConversion"/>
  </si>
  <si>
    <t>공사금액
(부가세 별도)</t>
  </si>
  <si>
    <t>품 명</t>
  </si>
  <si>
    <t>규 격</t>
  </si>
  <si>
    <t>수 량</t>
  </si>
  <si>
    <t>단 가</t>
  </si>
  <si>
    <t>금 액</t>
  </si>
  <si>
    <t>비 고</t>
  </si>
  <si>
    <t>식</t>
  </si>
  <si>
    <t>합 계</t>
  </si>
  <si>
    <r>
      <t>(</t>
    </r>
    <r>
      <rPr>
        <sz val="12"/>
        <color theme="1"/>
        <rFont val="맑은 고딕"/>
        <family val="3"/>
        <charset val="129"/>
      </rPr>
      <t>단수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정리</t>
    </r>
    <r>
      <rPr>
        <sz val="12"/>
        <color theme="1"/>
        <rFont val="Arial"/>
        <family val="2"/>
      </rPr>
      <t>)</t>
    </r>
    <phoneticPr fontId="5" type="noConversion"/>
  </si>
  <si>
    <r>
      <t xml:space="preserve">
  </t>
    </r>
    <r>
      <rPr>
        <b/>
        <sz val="12"/>
        <color theme="1"/>
        <rFont val="맑은 고딕"/>
        <family val="3"/>
        <charset val="129"/>
      </rPr>
      <t>특기사항</t>
    </r>
    <phoneticPr fontId="5" type="noConversion"/>
  </si>
  <si>
    <r>
      <rPr>
        <b/>
        <sz val="12"/>
        <color rgb="FFFF0000"/>
        <rFont val="Arial"/>
        <family val="2"/>
      </rPr>
      <t xml:space="preserve">  1. </t>
    </r>
    <r>
      <rPr>
        <b/>
        <sz val="12"/>
        <color rgb="FFFF0000"/>
        <rFont val="맑은 고딕"/>
        <family val="3"/>
        <charset val="129"/>
      </rPr>
      <t>하자보수기간</t>
    </r>
    <r>
      <rPr>
        <b/>
        <sz val="12"/>
        <color rgb="FFFF0000"/>
        <rFont val="Arial"/>
        <family val="2"/>
      </rPr>
      <t xml:space="preserve"> 3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  <family val="2"/>
      </rPr>
      <t xml:space="preserve"> (</t>
    </r>
    <r>
      <rPr>
        <b/>
        <sz val="12"/>
        <color rgb="FFFF0000"/>
        <rFont val="맑은 고딕"/>
        <family val="3"/>
        <charset val="129"/>
      </rPr>
      <t>하자이행증권</t>
    </r>
    <r>
      <rPr>
        <b/>
        <sz val="12"/>
        <color rgb="FFFF0000"/>
        <rFont val="Arial"/>
        <family val="2"/>
      </rPr>
      <t xml:space="preserve"> 3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  <family val="2"/>
      </rPr>
      <t xml:space="preserve">)
</t>
    </r>
    <r>
      <rPr>
        <sz val="12"/>
        <color rgb="FF000000"/>
        <rFont val="Arial"/>
        <family val="2"/>
      </rPr>
      <t xml:space="preserve">  2. </t>
    </r>
    <r>
      <rPr>
        <sz val="12"/>
        <color rgb="FF000000"/>
        <rFont val="맑은 고딕"/>
        <family val="3"/>
        <charset val="129"/>
      </rPr>
      <t>견적서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제출</t>
    </r>
    <r>
      <rPr>
        <sz val="12"/>
        <color rgb="FF000000"/>
        <rFont val="Arial"/>
        <family val="2"/>
      </rPr>
      <t xml:space="preserve"> 30</t>
    </r>
    <r>
      <rPr>
        <sz val="12"/>
        <color rgb="FF000000"/>
        <rFont val="맑은 고딕"/>
        <family val="3"/>
        <charset val="129"/>
      </rPr>
      <t>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 xml:space="preserve">유효
</t>
    </r>
    <r>
      <rPr>
        <sz val="12"/>
        <color rgb="FF000000"/>
        <rFont val="Arial"/>
        <family val="2"/>
      </rPr>
      <t xml:space="preserve">       * </t>
    </r>
    <r>
      <rPr>
        <sz val="12"/>
        <color rgb="FF000000"/>
        <rFont val="맑은 고딕"/>
        <family val="3"/>
        <charset val="129"/>
      </rPr>
      <t>부가가치세별도</t>
    </r>
  </si>
  <si>
    <t>Brand Collaborations</t>
    <phoneticPr fontId="5" type="noConversion"/>
  </si>
  <si>
    <t>공 사 명</t>
  </si>
  <si>
    <r>
      <rPr>
        <sz val="12"/>
        <color theme="1"/>
        <rFont val="맑은 고딕"/>
        <family val="2"/>
        <charset val="129"/>
      </rPr>
      <t>옥상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우레탄방수</t>
    </r>
    <r>
      <rPr>
        <sz val="12"/>
        <color theme="1"/>
        <rFont val="Arial"/>
        <family val="2"/>
      </rPr>
      <t xml:space="preserve"> 3mm</t>
    </r>
    <r>
      <rPr>
        <sz val="12"/>
        <color theme="1"/>
        <rFont val="Arial"/>
        <family val="2"/>
        <charset val="129"/>
      </rPr>
      <t xml:space="preserve"> (</t>
    </r>
    <r>
      <rPr>
        <sz val="12"/>
        <color theme="1"/>
        <rFont val="맑은 고딕"/>
        <family val="2"/>
        <charset val="129"/>
      </rPr>
      <t>제</t>
    </r>
    <r>
      <rPr>
        <sz val="12"/>
        <color theme="1"/>
        <rFont val="Arial"/>
        <family val="2"/>
        <charset val="129"/>
      </rPr>
      <t xml:space="preserve"> 2</t>
    </r>
    <r>
      <rPr>
        <sz val="12"/>
        <color theme="1"/>
        <rFont val="맑은 고딕"/>
        <family val="2"/>
        <charset val="129"/>
      </rPr>
      <t>안</t>
    </r>
    <r>
      <rPr>
        <sz val="12"/>
        <color theme="1"/>
        <rFont val="Arial"/>
        <family val="2"/>
        <charset val="129"/>
      </rPr>
      <t>)</t>
    </r>
    <phoneticPr fontId="5" type="noConversion"/>
  </si>
  <si>
    <t>단 위</t>
  </si>
  <si>
    <t>재 료 비</t>
  </si>
  <si>
    <t>인 건 비</t>
  </si>
  <si>
    <t>경 비</t>
  </si>
  <si>
    <r>
      <rPr>
        <b/>
        <sz val="12"/>
        <color theme="0"/>
        <rFont val="맑은 고딕"/>
        <family val="2"/>
      </rPr>
      <t>합</t>
    </r>
    <r>
      <rPr>
        <b/>
        <sz val="12"/>
        <color theme="0"/>
        <rFont val="Arial"/>
        <family val="2"/>
      </rPr>
      <t xml:space="preserve"> </t>
    </r>
    <r>
      <rPr>
        <b/>
        <sz val="12"/>
        <color theme="0"/>
        <rFont val="맑은 고딕"/>
        <family val="2"/>
      </rPr>
      <t>계</t>
    </r>
  </si>
  <si>
    <r>
      <rPr>
        <sz val="12"/>
        <color theme="1"/>
        <rFont val="Malgun Gothic"/>
        <family val="3"/>
        <charset val="129"/>
      </rPr>
      <t>바탕정리</t>
    </r>
  </si>
  <si>
    <r>
      <rPr>
        <sz val="12"/>
        <color theme="1"/>
        <rFont val="맑은 고딕"/>
        <family val="2"/>
        <charset val="129"/>
      </rPr>
      <t>그라인더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연삭</t>
    </r>
    <phoneticPr fontId="5" type="noConversion"/>
  </si>
  <si>
    <t>m²</t>
  </si>
  <si>
    <t>바탕조정제
부분미장</t>
    <phoneticPr fontId="5" type="noConversion"/>
  </si>
  <si>
    <t>식</t>
    <phoneticPr fontId="5" type="noConversion"/>
  </si>
  <si>
    <r>
      <rPr>
        <sz val="12"/>
        <color theme="1"/>
        <rFont val="Malgun Gothic"/>
        <family val="3"/>
        <charset val="129"/>
      </rPr>
      <t>하도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프라이머</t>
    </r>
  </si>
  <si>
    <r>
      <rPr>
        <sz val="12"/>
        <color theme="1"/>
        <rFont val="Malgun Gothic"/>
        <family val="3"/>
        <charset val="129"/>
      </rPr>
      <t>노출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1</t>
    </r>
    <r>
      <rPr>
        <sz val="12"/>
        <color theme="1"/>
        <rFont val="Malgun Gothic"/>
        <family val="3"/>
        <charset val="129"/>
      </rPr>
      <t>차</t>
    </r>
  </si>
  <si>
    <r>
      <rPr>
        <sz val="12"/>
        <color theme="1"/>
        <rFont val="맑은 고딕"/>
        <family val="2"/>
        <charset val="129"/>
      </rPr>
      <t>중도</t>
    </r>
    <r>
      <rPr>
        <sz val="12"/>
        <color theme="1"/>
        <rFont val="Arial"/>
        <family val="2"/>
      </rPr>
      <t xml:space="preserve"> 1mm</t>
    </r>
    <phoneticPr fontId="5" type="noConversion"/>
  </si>
  <si>
    <r>
      <rPr>
        <sz val="12"/>
        <color theme="1"/>
        <rFont val="Malgun Gothic"/>
        <family val="3"/>
        <charset val="129"/>
      </rPr>
      <t>노출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2</t>
    </r>
    <r>
      <rPr>
        <sz val="12"/>
        <color theme="1"/>
        <rFont val="Malgun Gothic"/>
        <family val="3"/>
        <charset val="129"/>
      </rPr>
      <t>차</t>
    </r>
  </si>
  <si>
    <r>
      <rPr>
        <sz val="12"/>
        <color theme="1"/>
        <rFont val="맑은 고딕"/>
        <family val="2"/>
        <charset val="129"/>
      </rPr>
      <t>중도</t>
    </r>
    <r>
      <rPr>
        <sz val="12"/>
        <color theme="1"/>
        <rFont val="Arial"/>
        <family val="2"/>
      </rPr>
      <t xml:space="preserve"> 2mm</t>
    </r>
    <phoneticPr fontId="5" type="noConversion"/>
  </si>
  <si>
    <r>
      <rPr>
        <sz val="12"/>
        <color theme="1"/>
        <rFont val="Malgun Gothic"/>
        <family val="3"/>
        <charset val="129"/>
      </rPr>
      <t>벽체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phoneticPr fontId="5" type="noConversion"/>
  </si>
  <si>
    <r>
      <rPr>
        <sz val="12"/>
        <color theme="1"/>
        <rFont val="Malgun Gothic"/>
        <family val="3"/>
        <charset val="129"/>
      </rPr>
      <t>중도</t>
    </r>
    <r>
      <rPr>
        <sz val="12"/>
        <color theme="1"/>
        <rFont val="Arial"/>
        <family val="2"/>
      </rPr>
      <t xml:space="preserve"> 1mm(2</t>
    </r>
    <r>
      <rPr>
        <sz val="12"/>
        <color theme="1"/>
        <rFont val="Malgun Gothic"/>
        <family val="3"/>
        <charset val="129"/>
      </rPr>
      <t>회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</si>
  <si>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상도</t>
    </r>
  </si>
  <si>
    <r>
      <rPr>
        <sz val="12"/>
        <color theme="1"/>
        <rFont val="Malgun Gothic"/>
        <family val="3"/>
        <charset val="129"/>
      </rPr>
      <t>탑코팅</t>
    </r>
    <phoneticPr fontId="5" type="noConversion"/>
  </si>
  <si>
    <r>
      <rPr>
        <sz val="12"/>
        <color theme="1"/>
        <rFont val="맑은 고딕"/>
        <family val="3"/>
        <charset val="129"/>
      </rPr>
      <t>사다리차</t>
    </r>
    <phoneticPr fontId="5" type="noConversion"/>
  </si>
  <si>
    <r>
      <rPr>
        <sz val="12"/>
        <color theme="1"/>
        <rFont val="맑은 고딕"/>
        <family val="3"/>
        <charset val="129"/>
      </rPr>
      <t>일</t>
    </r>
    <phoneticPr fontId="5" type="noConversion"/>
  </si>
  <si>
    <r>
      <rPr>
        <sz val="12"/>
        <color theme="1"/>
        <rFont val="맑은 고딕"/>
        <family val="3"/>
        <charset val="129"/>
      </rPr>
      <t>폐기물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처리</t>
    </r>
    <phoneticPr fontId="5" type="noConversion"/>
  </si>
  <si>
    <r>
      <rPr>
        <sz val="12"/>
        <color theme="1"/>
        <rFont val="맑은 고딕"/>
        <family val="3"/>
        <charset val="129"/>
      </rPr>
      <t>식</t>
    </r>
    <phoneticPr fontId="5" type="noConversion"/>
  </si>
  <si>
    <r>
      <rPr>
        <sz val="12"/>
        <color theme="1"/>
        <rFont val="맑은 고딕"/>
        <family val="3"/>
        <charset val="129"/>
      </rPr>
      <t>드라이비트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절개</t>
    </r>
    <phoneticPr fontId="5" type="noConversion"/>
  </si>
  <si>
    <r>
      <rPr>
        <sz val="12"/>
        <color theme="1"/>
        <rFont val="맑은 고딕"/>
        <family val="3"/>
        <charset val="129"/>
      </rPr>
      <t>소</t>
    </r>
    <r>
      <rPr>
        <sz val="12"/>
        <color theme="1"/>
        <rFont val="Arial"/>
        <family val="2"/>
      </rPr>
      <t xml:space="preserve">       </t>
    </r>
    <r>
      <rPr>
        <sz val="12"/>
        <color theme="1"/>
        <rFont val="맑은 고딕"/>
        <family val="3"/>
        <charset val="129"/>
      </rPr>
      <t>계</t>
    </r>
    <r>
      <rPr>
        <sz val="12"/>
        <color theme="1"/>
        <rFont val="Arial"/>
        <family val="2"/>
      </rPr>
      <t xml:space="preserve"> </t>
    </r>
    <phoneticPr fontId="5" type="noConversion"/>
  </si>
  <si>
    <r>
      <rPr>
        <sz val="12"/>
        <color theme="1"/>
        <rFont val="맑은 고딕"/>
        <family val="3"/>
        <charset val="129"/>
      </rPr>
      <t>공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과</t>
    </r>
    <r>
      <rPr>
        <sz val="12"/>
        <color theme="1"/>
        <rFont val="Arial"/>
        <family val="2"/>
      </rPr>
      <t xml:space="preserve">   </t>
    </r>
    <r>
      <rPr>
        <sz val="12"/>
        <color theme="1"/>
        <rFont val="맑은 고딕"/>
        <family val="3"/>
        <charset val="129"/>
      </rPr>
      <t>잡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비</t>
    </r>
    <r>
      <rPr>
        <sz val="12"/>
        <color theme="1"/>
        <rFont val="Arial"/>
        <family val="2"/>
      </rPr>
      <t xml:space="preserve">, 
</t>
    </r>
    <r>
      <rPr>
        <sz val="12"/>
        <color theme="1"/>
        <rFont val="맑은 고딕"/>
        <family val="3"/>
        <charset val="129"/>
      </rPr>
      <t>안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비</t>
    </r>
    <phoneticPr fontId="5" type="noConversion"/>
  </si>
  <si>
    <t>%</t>
    <phoneticPr fontId="5" type="noConversion"/>
  </si>
  <si>
    <r>
      <rPr>
        <sz val="12"/>
        <color theme="1"/>
        <rFont val="맑은 고딕"/>
        <family val="3"/>
        <charset val="129"/>
      </rPr>
      <t>기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업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이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윤</t>
    </r>
    <phoneticPr fontId="5" type="noConversion"/>
  </si>
  <si>
    <r>
      <rPr>
        <sz val="12"/>
        <color theme="1"/>
        <rFont val="맑은 고딕"/>
        <family val="2"/>
      </rPr>
      <t>계</t>
    </r>
  </si>
  <si>
    <r>
      <rPr>
        <b/>
        <sz val="12"/>
        <color theme="1"/>
        <rFont val="맑은 고딕"/>
        <family val="2"/>
      </rPr>
      <t>합</t>
    </r>
    <r>
      <rPr>
        <b/>
        <sz val="12"/>
        <color theme="1"/>
        <rFont val="Arial"/>
        <family val="2"/>
      </rPr>
      <t xml:space="preserve">       </t>
    </r>
    <r>
      <rPr>
        <b/>
        <sz val="12"/>
        <color theme="1"/>
        <rFont val="맑은 고딕"/>
        <family val="2"/>
      </rPr>
      <t>계</t>
    </r>
    <phoneticPr fontId="5" type="noConversion"/>
  </si>
  <si>
    <r>
      <t>(</t>
    </r>
    <r>
      <rPr>
        <sz val="12"/>
        <color theme="1"/>
        <rFont val="맑은 고딕"/>
        <family val="2"/>
      </rPr>
      <t>단수정리</t>
    </r>
    <r>
      <rPr>
        <sz val="12"/>
        <color theme="1"/>
        <rFont val="Arial"/>
        <family val="2"/>
      </rPr>
      <t>)</t>
    </r>
  </si>
  <si>
    <r>
      <rPr>
        <sz val="12"/>
        <color theme="1"/>
        <rFont val="맑은 고딕"/>
        <family val="3"/>
        <charset val="129"/>
      </rPr>
      <t>줄눈</t>
    </r>
    <r>
      <rPr>
        <sz val="12"/>
        <color theme="1"/>
        <rFont val="Arial"/>
        <family val="2"/>
      </rPr>
      <t xml:space="preserve">. </t>
    </r>
    <r>
      <rPr>
        <sz val="12"/>
        <color theme="1"/>
        <rFont val="맑은 고딕"/>
        <family val="3"/>
        <charset val="129"/>
      </rPr>
      <t>크랙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실란트</t>
    </r>
    <r>
      <rPr>
        <sz val="12"/>
        <color theme="1"/>
        <rFont val="Arial"/>
        <family val="2"/>
      </rPr>
      <t xml:space="preserve"> 
</t>
    </r>
    <r>
      <rPr>
        <sz val="12"/>
        <color theme="1"/>
        <rFont val="맑은 고딕"/>
        <family val="3"/>
        <charset val="129"/>
      </rPr>
      <t>보강포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부착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</si>
</sst>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DBNum4]&quot;일금&quot;[$-412]General&quot;원정&quot;"/>
    <numFmt numFmtId="177" formatCode="#,##0;\-#,##0;;@"/>
    <numFmt numFmtId="178" formatCode="yyyy&quot;년&quot;\ m&quot;월&quot;\ d&quot;일&quot;;@"/>
  </numFmts>
  <fonts count="28">
    <font>
      <sz val="11"/>
      <color theme="1"/>
      <name val="맑은 고딕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26"/>
      <color rgb="FF000000"/>
      <name val="Arial"/>
      <family val="2"/>
    </font>
    <font>
      <b/>
      <sz val="11"/>
      <color rgb="FFB7B7B7"/>
      <name val="Arial"/>
      <family val="2"/>
    </font>
    <font>
      <sz val="8"/>
      <name val="맑은 고딕"/>
      <family val="3"/>
      <charset val="129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맑은 고딕"/>
      <family val="2"/>
    </font>
    <font>
      <sz val="12"/>
      <color theme="1"/>
      <name val="Malgun Gothic"/>
      <family val="3"/>
      <charset val="129"/>
    </font>
    <font>
      <sz val="12"/>
      <color theme="1"/>
      <name val="맑은 고딕"/>
      <family val="2"/>
      <charset val="129"/>
    </font>
    <font>
      <b/>
      <sz val="12"/>
      <color theme="1"/>
      <name val="Arial"/>
      <family val="2"/>
    </font>
    <font>
      <sz val="12"/>
      <color theme="1"/>
      <name val="맑은 고딕"/>
      <family val="3"/>
      <charset val="129"/>
    </font>
    <font>
      <sz val="12"/>
      <color theme="1"/>
      <name val="맑은 고딕"/>
      <family val="2"/>
    </font>
    <font>
      <b/>
      <sz val="12"/>
      <color theme="1"/>
      <name val="맑은 고딕"/>
      <family val="2"/>
    </font>
    <font>
      <b/>
      <sz val="12"/>
      <color rgb="FFFFFFFF"/>
      <name val="Arial"/>
      <family val="2"/>
    </font>
    <font>
      <sz val="12"/>
      <name val="Arial"/>
      <family val="2"/>
    </font>
    <font>
      <b/>
      <sz val="12"/>
      <color theme="1"/>
      <name val="맑은 고딕"/>
      <family val="3"/>
      <charset val="129"/>
    </font>
    <font>
      <b/>
      <sz val="16"/>
      <color theme="1"/>
      <name val="Arial"/>
      <family val="2"/>
    </font>
    <font>
      <sz val="12"/>
      <color theme="1"/>
      <name val="Arial"/>
      <family val="3"/>
      <charset val="129"/>
    </font>
    <font>
      <b/>
      <sz val="11"/>
      <color theme="0"/>
      <name val="Arial"/>
      <family val="2"/>
    </font>
    <font>
      <sz val="12"/>
      <color theme="1"/>
      <name val="Arial"/>
      <family val="2"/>
      <charset val="129"/>
    </font>
    <font>
      <sz val="12"/>
      <color theme="1"/>
      <name val="Arial"/>
      <family val="3"/>
    </font>
    <font>
      <sz val="11"/>
      <color theme="1"/>
      <name val="맑은 고딕"/>
      <family val="2"/>
      <scheme val="minor"/>
    </font>
    <font>
      <b/>
      <sz val="12"/>
      <color rgb="FFFF0000"/>
      <name val="Arial"/>
      <family val="2"/>
    </font>
    <font>
      <b/>
      <sz val="12"/>
      <color rgb="FFFF0000"/>
      <name val="맑은 고딕"/>
      <family val="3"/>
      <charset val="129"/>
    </font>
    <font>
      <sz val="12"/>
      <color rgb="FF000000"/>
      <name val="Arial"/>
      <family val="2"/>
    </font>
    <font>
      <sz val="12"/>
      <color rgb="FF000000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5F5F5"/>
        <bgColor rgb="FFF5F5F5"/>
      </patternFill>
    </fill>
    <fill>
      <patternFill patternType="solid">
        <fgColor theme="1" tint="0.14999847407452621"/>
        <bgColor indexed="64"/>
      </patternFill>
    </fill>
  </fills>
  <borders count="60"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ck">
        <color theme="1"/>
      </top>
      <bottom/>
      <diagonal/>
    </border>
    <border>
      <left/>
      <right style="thin">
        <color rgb="FF525979"/>
      </right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CCCCCC"/>
      </top>
      <bottom style="thick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/>
      <top style="thick">
        <color theme="1"/>
      </top>
      <bottom style="thin">
        <color rgb="FFCCCCCC"/>
      </bottom>
      <diagonal/>
    </border>
    <border>
      <left style="thin">
        <color rgb="FFB7B7B7"/>
      </left>
      <right/>
      <top/>
      <bottom/>
      <diagonal/>
    </border>
    <border>
      <left style="thin">
        <color rgb="FFCCCCCC"/>
      </left>
      <right/>
      <top/>
      <bottom style="thin">
        <color rgb="FFB7B7B7"/>
      </bottom>
      <diagonal/>
    </border>
    <border>
      <left style="thin">
        <color rgb="FFCCCCCC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ck">
        <color rgb="FF343C61"/>
      </top>
      <bottom style="medium">
        <color rgb="FFCCCCCC"/>
      </bottom>
      <diagonal/>
    </border>
    <border>
      <left/>
      <right style="medium">
        <color rgb="FFCCCCCC"/>
      </right>
      <top style="thick">
        <color rgb="FF343C61"/>
      </top>
      <bottom style="medium">
        <color rgb="FFCCCCCC"/>
      </bottom>
      <diagonal/>
    </border>
    <border>
      <left/>
      <right/>
      <top style="thick">
        <color rgb="FF000000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B7B7B7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B7B7B7"/>
      </bottom>
      <diagonal/>
    </border>
    <border>
      <left/>
      <right style="thin">
        <color rgb="FFB7B7B7"/>
      </right>
      <top style="thin">
        <color rgb="FFCCCCCC"/>
      </top>
      <bottom style="thin">
        <color rgb="FFB7B7B7"/>
      </bottom>
      <diagonal/>
    </border>
    <border>
      <left/>
      <right/>
      <top/>
      <bottom style="thin">
        <color rgb="FF525979"/>
      </bottom>
      <diagonal/>
    </border>
    <border>
      <left style="thin">
        <color rgb="FFCCCCCC"/>
      </left>
      <right/>
      <top style="thick">
        <color rgb="FF000000"/>
      </top>
      <bottom style="thin">
        <color rgb="FFB7B7B7"/>
      </bottom>
      <diagonal/>
    </border>
    <border>
      <left/>
      <right/>
      <top style="thick">
        <color rgb="FF000000"/>
      </top>
      <bottom style="thin">
        <color rgb="FFB7B7B7"/>
      </bottom>
      <diagonal/>
    </border>
    <border>
      <left/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/>
      <diagonal/>
    </border>
    <border>
      <left/>
      <right style="thin">
        <color theme="2" tint="-0.499984740745262"/>
      </right>
      <top style="thick">
        <color rgb="FF000000"/>
      </top>
      <bottom/>
      <diagonal/>
    </border>
    <border>
      <left style="thin">
        <color rgb="FFCCCCCC"/>
      </left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CCCCCC"/>
      </top>
      <bottom style="thin">
        <color rgb="FFCCCCCC"/>
      </bottom>
      <diagonal/>
    </border>
    <border>
      <left style="thin">
        <color rgb="FFB7B7B7"/>
      </left>
      <right/>
      <top style="thin">
        <color rgb="FFCCCCCC"/>
      </top>
      <bottom style="thin">
        <color rgb="FFB7B7B7"/>
      </bottom>
      <diagonal/>
    </border>
    <border>
      <left/>
      <right style="thin">
        <color rgb="FFCCCCCC"/>
      </right>
      <top style="thin">
        <color rgb="FFCCCCCC"/>
      </top>
      <bottom style="thin">
        <color rgb="FFB7B7B7"/>
      </bottom>
      <diagonal/>
    </border>
    <border>
      <left style="thin">
        <color rgb="FFB7B7B7"/>
      </left>
      <right style="thin">
        <color theme="1" tint="0.499984740745262"/>
      </right>
      <top style="thick">
        <color rgb="FF000000"/>
      </top>
      <bottom/>
      <diagonal/>
    </border>
    <border>
      <left style="thin">
        <color rgb="FFB7B7B7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ck">
        <color rgb="FF000000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ck">
        <color rgb="FF000000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/>
      </bottom>
      <diagonal/>
    </border>
  </borders>
  <cellStyleXfs count="2">
    <xf numFmtId="0" fontId="0" fillId="0" borderId="0"/>
    <xf numFmtId="0" fontId="23" fillId="0" borderId="0"/>
  </cellStyleXfs>
  <cellXfs count="149">
    <xf numFmtId="0" fontId="0" fillId="0" borderId="0" xfId="0"/>
    <xf numFmtId="0" fontId="1" fillId="0" borderId="0" xfId="0" applyFont="1"/>
    <xf numFmtId="3" fontId="6" fillId="5" borderId="15" xfId="0" applyNumberFormat="1" applyFont="1" applyFill="1" applyBorder="1" applyAlignment="1">
      <alignment horizontal="center" vertical="center"/>
    </xf>
    <xf numFmtId="3" fontId="6" fillId="0" borderId="15" xfId="0" applyNumberFormat="1" applyFont="1" applyBorder="1" applyAlignment="1">
      <alignment horizontal="center" vertical="center"/>
    </xf>
    <xf numFmtId="177" fontId="6" fillId="0" borderId="15" xfId="0" applyNumberFormat="1" applyFont="1" applyBorder="1" applyAlignment="1">
      <alignment horizontal="center" vertical="center"/>
    </xf>
    <xf numFmtId="3" fontId="6" fillId="2" borderId="15" xfId="0" applyNumberFormat="1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/>
    </xf>
    <xf numFmtId="0" fontId="6" fillId="0" borderId="15" xfId="0" applyFont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/>
    </xf>
    <xf numFmtId="3" fontId="11" fillId="4" borderId="15" xfId="0" applyNumberFormat="1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/>
    </xf>
    <xf numFmtId="177" fontId="6" fillId="6" borderId="15" xfId="0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/>
    </xf>
    <xf numFmtId="0" fontId="11" fillId="4" borderId="16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" fillId="0" borderId="0" xfId="1" applyFont="1"/>
    <xf numFmtId="0" fontId="23" fillId="0" borderId="0" xfId="1"/>
    <xf numFmtId="0" fontId="3" fillId="0" borderId="0" xfId="1" applyFont="1" applyAlignment="1">
      <alignment wrapText="1"/>
    </xf>
    <xf numFmtId="0" fontId="1" fillId="2" borderId="0" xfId="1" applyFont="1" applyFill="1"/>
    <xf numFmtId="0" fontId="1" fillId="0" borderId="0" xfId="1" applyFont="1" applyAlignment="1">
      <alignment vertical="center"/>
    </xf>
    <xf numFmtId="0" fontId="2" fillId="0" borderId="0" xfId="1" applyFont="1"/>
    <xf numFmtId="0" fontId="2" fillId="2" borderId="0" xfId="1" applyFont="1" applyFill="1"/>
    <xf numFmtId="0" fontId="1" fillId="2" borderId="0" xfId="1" applyFont="1" applyFill="1" applyAlignment="1">
      <alignment vertical="center"/>
    </xf>
    <xf numFmtId="0" fontId="2" fillId="2" borderId="0" xfId="1" applyFont="1" applyFill="1" applyAlignment="1">
      <alignment vertical="center"/>
    </xf>
    <xf numFmtId="0" fontId="2" fillId="0" borderId="0" xfId="1" applyFont="1" applyAlignment="1">
      <alignment vertical="center"/>
    </xf>
    <xf numFmtId="0" fontId="15" fillId="7" borderId="33" xfId="1" applyFont="1" applyFill="1" applyBorder="1" applyAlignment="1">
      <alignment vertical="center"/>
    </xf>
    <xf numFmtId="0" fontId="15" fillId="2" borderId="1" xfId="1" applyFont="1" applyFill="1" applyBorder="1" applyAlignment="1">
      <alignment horizontal="left" vertical="center"/>
    </xf>
    <xf numFmtId="0" fontId="11" fillId="0" borderId="0" xfId="1" applyFont="1"/>
    <xf numFmtId="0" fontId="11" fillId="3" borderId="4" xfId="1" applyFont="1" applyFill="1" applyBorder="1" applyAlignment="1">
      <alignment vertical="center"/>
    </xf>
    <xf numFmtId="0" fontId="11" fillId="2" borderId="4" xfId="1" applyFont="1" applyFill="1" applyBorder="1" applyAlignment="1">
      <alignment vertical="center"/>
    </xf>
    <xf numFmtId="0" fontId="6" fillId="0" borderId="4" xfId="1" applyFont="1" applyBorder="1" applyAlignment="1">
      <alignment vertical="center"/>
    </xf>
    <xf numFmtId="0" fontId="7" fillId="7" borderId="34" xfId="1" applyFont="1" applyFill="1" applyBorder="1" applyAlignment="1">
      <alignment vertical="center"/>
    </xf>
    <xf numFmtId="0" fontId="7" fillId="2" borderId="3" xfId="1" applyFont="1" applyFill="1" applyBorder="1" applyAlignment="1">
      <alignment vertical="center"/>
    </xf>
    <xf numFmtId="0" fontId="11" fillId="3" borderId="2" xfId="1" applyFont="1" applyFill="1" applyBorder="1" applyAlignment="1">
      <alignment vertical="center"/>
    </xf>
    <xf numFmtId="0" fontId="11" fillId="2" borderId="2" xfId="1" applyFont="1" applyFill="1" applyBorder="1" applyAlignment="1">
      <alignment vertical="center"/>
    </xf>
    <xf numFmtId="0" fontId="7" fillId="7" borderId="39" xfId="1" applyFont="1" applyFill="1" applyBorder="1" applyAlignment="1">
      <alignment vertical="center"/>
    </xf>
    <xf numFmtId="0" fontId="11" fillId="3" borderId="3" xfId="1" applyFont="1" applyFill="1" applyBorder="1" applyAlignment="1">
      <alignment vertical="center"/>
    </xf>
    <xf numFmtId="0" fontId="11" fillId="2" borderId="3" xfId="1" applyFont="1" applyFill="1" applyBorder="1" applyAlignment="1">
      <alignment vertical="center"/>
    </xf>
    <xf numFmtId="0" fontId="7" fillId="2" borderId="0" xfId="1" applyFont="1" applyFill="1" applyAlignment="1">
      <alignment vertical="center"/>
    </xf>
    <xf numFmtId="0" fontId="6" fillId="0" borderId="6" xfId="1" applyFont="1" applyBorder="1"/>
    <xf numFmtId="0" fontId="7" fillId="7" borderId="44" xfId="1" applyFont="1" applyFill="1" applyBorder="1" applyAlignment="1">
      <alignment horizontal="center" vertical="center"/>
    </xf>
    <xf numFmtId="0" fontId="1" fillId="0" borderId="10" xfId="1" applyFont="1" applyBorder="1"/>
    <xf numFmtId="0" fontId="6" fillId="0" borderId="17" xfId="1" applyFont="1" applyBorder="1" applyAlignment="1">
      <alignment horizontal="center" vertical="center"/>
    </xf>
    <xf numFmtId="0" fontId="6" fillId="0" borderId="11" xfId="1" applyFont="1" applyBorder="1"/>
    <xf numFmtId="0" fontId="6" fillId="4" borderId="8" xfId="1" applyFont="1" applyFill="1" applyBorder="1" applyAlignment="1">
      <alignment vertical="center"/>
    </xf>
    <xf numFmtId="0" fontId="4" fillId="0" borderId="2" xfId="1" applyFont="1" applyBorder="1"/>
    <xf numFmtId="0" fontId="4" fillId="0" borderId="0" xfId="1" applyFont="1"/>
    <xf numFmtId="0" fontId="4" fillId="0" borderId="0" xfId="1" applyFont="1" applyAlignment="1">
      <alignment horizontal="right"/>
    </xf>
    <xf numFmtId="0" fontId="23" fillId="2" borderId="0" xfId="1" applyFill="1"/>
    <xf numFmtId="0" fontId="20" fillId="7" borderId="1" xfId="0" applyFont="1" applyFill="1" applyBorder="1" applyAlignment="1">
      <alignment horizontal="center" vertical="center"/>
    </xf>
    <xf numFmtId="0" fontId="7" fillId="7" borderId="51" xfId="0" applyFont="1" applyFill="1" applyBorder="1" applyAlignment="1">
      <alignment horizontal="center" vertical="center"/>
    </xf>
    <xf numFmtId="0" fontId="7" fillId="7" borderId="52" xfId="0" applyFont="1" applyFill="1" applyBorder="1" applyAlignment="1">
      <alignment horizontal="center" vertical="center"/>
    </xf>
    <xf numFmtId="0" fontId="7" fillId="7" borderId="53" xfId="0" applyFont="1" applyFill="1" applyBorder="1" applyAlignment="1">
      <alignment horizontal="center" vertical="center"/>
    </xf>
    <xf numFmtId="0" fontId="7" fillId="7" borderId="54" xfId="0" applyFont="1" applyFill="1" applyBorder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57" xfId="0" applyFont="1" applyFill="1" applyBorder="1" applyAlignment="1">
      <alignment horizontal="center" vertical="center"/>
    </xf>
    <xf numFmtId="0" fontId="7" fillId="7" borderId="55" xfId="0" applyFont="1" applyFill="1" applyBorder="1" applyAlignment="1">
      <alignment horizontal="center" vertical="center"/>
    </xf>
    <xf numFmtId="0" fontId="7" fillId="7" borderId="58" xfId="0" applyFont="1" applyFill="1" applyBorder="1" applyAlignment="1">
      <alignment horizontal="center" vertical="center"/>
    </xf>
    <xf numFmtId="0" fontId="7" fillId="7" borderId="59" xfId="0" applyFont="1" applyFill="1" applyBorder="1" applyAlignment="1">
      <alignment horizontal="center" vertical="center"/>
    </xf>
    <xf numFmtId="0" fontId="19" fillId="0" borderId="18" xfId="0" applyFont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/>
    </xf>
    <xf numFmtId="0" fontId="7" fillId="7" borderId="56" xfId="0" applyFont="1" applyFill="1" applyBorder="1" applyAlignment="1">
      <alignment horizontal="center" vertical="center"/>
    </xf>
    <xf numFmtId="0" fontId="21" fillId="0" borderId="31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6" fillId="4" borderId="8" xfId="1" applyFont="1" applyFill="1" applyBorder="1" applyAlignment="1">
      <alignment horizontal="center" vertical="center"/>
    </xf>
    <xf numFmtId="0" fontId="6" fillId="4" borderId="3" xfId="1" applyFont="1" applyFill="1" applyBorder="1" applyAlignment="1">
      <alignment horizontal="center" vertical="center"/>
    </xf>
    <xf numFmtId="0" fontId="11" fillId="0" borderId="11" xfId="1" applyFont="1" applyBorder="1" applyAlignment="1">
      <alignment vertical="top" wrapText="1"/>
    </xf>
    <xf numFmtId="0" fontId="11" fillId="0" borderId="2" xfId="1" applyFont="1" applyBorder="1" applyAlignment="1">
      <alignment vertical="top"/>
    </xf>
    <xf numFmtId="0" fontId="11" fillId="0" borderId="10" xfId="1" applyFont="1" applyBorder="1" applyAlignment="1">
      <alignment vertical="top"/>
    </xf>
    <xf numFmtId="0" fontId="11" fillId="0" borderId="0" xfId="1" applyFont="1" applyAlignment="1">
      <alignment vertical="top"/>
    </xf>
    <xf numFmtId="0" fontId="11" fillId="0" borderId="12" xfId="1" applyFont="1" applyBorder="1" applyAlignment="1">
      <alignment vertical="top"/>
    </xf>
    <xf numFmtId="0" fontId="11" fillId="0" borderId="13" xfId="1" applyFont="1" applyBorder="1" applyAlignment="1">
      <alignment vertical="top"/>
    </xf>
    <xf numFmtId="0" fontId="6" fillId="0" borderId="25" xfId="1" applyFont="1" applyBorder="1" applyAlignment="1">
      <alignment vertical="center" wrapText="1"/>
    </xf>
    <xf numFmtId="0" fontId="16" fillId="0" borderId="26" xfId="1" applyFont="1" applyBorder="1"/>
    <xf numFmtId="0" fontId="16" fillId="0" borderId="27" xfId="1" applyFont="1" applyBorder="1"/>
    <xf numFmtId="0" fontId="16" fillId="0" borderId="20" xfId="1" applyFont="1" applyBorder="1"/>
    <xf numFmtId="0" fontId="6" fillId="0" borderId="0" xfId="1" applyFont="1"/>
    <xf numFmtId="0" fontId="16" fillId="0" borderId="28" xfId="1" applyFont="1" applyBorder="1"/>
    <xf numFmtId="0" fontId="16" fillId="0" borderId="29" xfId="1" applyFont="1" applyBorder="1"/>
    <xf numFmtId="0" fontId="16" fillId="0" borderId="30" xfId="1" applyFont="1" applyBorder="1"/>
    <xf numFmtId="0" fontId="16" fillId="0" borderId="15" xfId="1" applyFont="1" applyBorder="1"/>
    <xf numFmtId="0" fontId="6" fillId="0" borderId="8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6" fillId="0" borderId="16" xfId="1" applyFont="1" applyBorder="1" applyAlignment="1">
      <alignment horizontal="center"/>
    </xf>
    <xf numFmtId="0" fontId="16" fillId="0" borderId="23" xfId="1" applyFont="1" applyBorder="1"/>
    <xf numFmtId="0" fontId="16" fillId="0" borderId="24" xfId="1" applyFont="1" applyBorder="1"/>
    <xf numFmtId="0" fontId="6" fillId="0" borderId="48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11" xfId="1" applyFont="1" applyBorder="1" applyAlignment="1">
      <alignment horizontal="center"/>
    </xf>
    <xf numFmtId="0" fontId="6" fillId="4" borderId="48" xfId="1" applyFont="1" applyFill="1" applyBorder="1" applyAlignment="1">
      <alignment horizontal="center" vertical="center"/>
    </xf>
    <xf numFmtId="0" fontId="6" fillId="4" borderId="49" xfId="1" applyFont="1" applyFill="1" applyBorder="1" applyAlignment="1">
      <alignment horizontal="center" vertical="center"/>
    </xf>
    <xf numFmtId="0" fontId="6" fillId="4" borderId="50" xfId="1" applyFont="1" applyFill="1" applyBorder="1" applyAlignment="1">
      <alignment horizontal="center" vertical="center"/>
    </xf>
    <xf numFmtId="3" fontId="6" fillId="6" borderId="16" xfId="0" applyNumberFormat="1" applyFont="1" applyFill="1" applyBorder="1" applyAlignment="1">
      <alignment horizontal="center" vertical="center"/>
    </xf>
    <xf numFmtId="0" fontId="16" fillId="0" borderId="23" xfId="0" applyFont="1" applyBorder="1"/>
    <xf numFmtId="0" fontId="16" fillId="0" borderId="24" xfId="0" applyFont="1" applyBorder="1"/>
    <xf numFmtId="0" fontId="19" fillId="0" borderId="16" xfId="0" applyFont="1" applyBorder="1" applyAlignment="1">
      <alignment horizontal="center" vertical="center"/>
    </xf>
    <xf numFmtId="0" fontId="6" fillId="0" borderId="16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/>
    </xf>
    <xf numFmtId="0" fontId="6" fillId="0" borderId="0" xfId="1" applyFont="1" applyAlignment="1">
      <alignment horizontal="center"/>
    </xf>
    <xf numFmtId="3" fontId="6" fillId="0" borderId="16" xfId="0" applyNumberFormat="1" applyFont="1" applyBorder="1" applyAlignment="1">
      <alignment horizontal="center" vertical="center"/>
    </xf>
    <xf numFmtId="0" fontId="6" fillId="0" borderId="12" xfId="1" applyFont="1" applyBorder="1" applyAlignment="1">
      <alignment horizontal="center"/>
    </xf>
    <xf numFmtId="0" fontId="6" fillId="0" borderId="13" xfId="1" applyFont="1" applyBorder="1" applyAlignment="1">
      <alignment horizontal="center"/>
    </xf>
    <xf numFmtId="0" fontId="6" fillId="0" borderId="14" xfId="1" applyFont="1" applyBorder="1" applyAlignment="1">
      <alignment horizontal="center"/>
    </xf>
    <xf numFmtId="0" fontId="6" fillId="0" borderId="47" xfId="1" applyFont="1" applyBorder="1" applyAlignment="1">
      <alignment horizontal="center"/>
    </xf>
    <xf numFmtId="0" fontId="6" fillId="0" borderId="35" xfId="1" applyFont="1" applyBorder="1" applyAlignment="1">
      <alignment horizontal="center"/>
    </xf>
    <xf numFmtId="0" fontId="6" fillId="0" borderId="36" xfId="1" applyFont="1" applyBorder="1" applyAlignment="1">
      <alignment horizontal="center"/>
    </xf>
    <xf numFmtId="0" fontId="7" fillId="7" borderId="4" xfId="1" applyFont="1" applyFill="1" applyBorder="1" applyAlignment="1">
      <alignment horizontal="center" vertical="center" wrapText="1"/>
    </xf>
    <xf numFmtId="176" fontId="18" fillId="0" borderId="1" xfId="1" applyNumberFormat="1" applyFont="1" applyBorder="1" applyAlignment="1">
      <alignment horizontal="center" vertical="center" wrapText="1"/>
    </xf>
    <xf numFmtId="0" fontId="6" fillId="0" borderId="7" xfId="1" applyFont="1" applyBorder="1"/>
    <xf numFmtId="0" fontId="7" fillId="7" borderId="40" xfId="1" applyFont="1" applyFill="1" applyBorder="1" applyAlignment="1">
      <alignment horizontal="center" vertical="center"/>
    </xf>
    <xf numFmtId="0" fontId="7" fillId="7" borderId="41" xfId="1" applyFont="1" applyFill="1" applyBorder="1" applyAlignment="1">
      <alignment horizontal="center" vertical="center"/>
    </xf>
    <xf numFmtId="0" fontId="7" fillId="7" borderId="42" xfId="1" applyFont="1" applyFill="1" applyBorder="1" applyAlignment="1">
      <alignment horizontal="center" vertical="center"/>
    </xf>
    <xf numFmtId="0" fontId="7" fillId="7" borderId="43" xfId="1" applyFont="1" applyFill="1" applyBorder="1" applyAlignment="1">
      <alignment horizontal="center" vertical="center"/>
    </xf>
    <xf numFmtId="0" fontId="7" fillId="7" borderId="45" xfId="1" applyFont="1" applyFill="1" applyBorder="1" applyAlignment="1">
      <alignment horizontal="center" vertical="center"/>
    </xf>
    <xf numFmtId="0" fontId="7" fillId="7" borderId="46" xfId="1" applyFont="1" applyFill="1" applyBorder="1" applyAlignment="1">
      <alignment horizontal="center" vertical="center"/>
    </xf>
    <xf numFmtId="0" fontId="7" fillId="7" borderId="1" xfId="1" applyFont="1" applyFill="1" applyBorder="1" applyAlignment="1">
      <alignment horizontal="center" vertical="center"/>
    </xf>
    <xf numFmtId="0" fontId="7" fillId="7" borderId="5" xfId="1" applyFont="1" applyFill="1" applyBorder="1" applyAlignment="1">
      <alignment horizontal="center" vertical="center"/>
    </xf>
    <xf numFmtId="0" fontId="6" fillId="0" borderId="6" xfId="1" applyFont="1" applyBorder="1" applyAlignment="1">
      <alignment vertical="center"/>
    </xf>
    <xf numFmtId="0" fontId="3" fillId="0" borderId="0" xfId="1" applyFont="1" applyAlignment="1">
      <alignment horizontal="center" wrapText="1"/>
    </xf>
    <xf numFmtId="0" fontId="6" fillId="0" borderId="1" xfId="1" applyFont="1" applyBorder="1" applyAlignment="1">
      <alignment horizontal="left" vertical="center"/>
    </xf>
    <xf numFmtId="0" fontId="6" fillId="0" borderId="19" xfId="1" applyFont="1" applyBorder="1" applyAlignment="1">
      <alignment vertical="center"/>
    </xf>
    <xf numFmtId="178" fontId="6" fillId="0" borderId="35" xfId="1" applyNumberFormat="1" applyFont="1" applyBorder="1" applyAlignment="1">
      <alignment horizontal="left" vertical="center"/>
    </xf>
    <xf numFmtId="178" fontId="6" fillId="0" borderId="36" xfId="1" applyNumberFormat="1" applyFont="1" applyBorder="1" applyAlignment="1">
      <alignment horizontal="left" vertical="center"/>
    </xf>
    <xf numFmtId="0" fontId="6" fillId="0" borderId="3" xfId="1" applyFont="1" applyBorder="1" applyAlignment="1">
      <alignment vertical="center"/>
    </xf>
    <xf numFmtId="0" fontId="6" fillId="0" borderId="3" xfId="1" applyFont="1" applyBorder="1" applyAlignment="1">
      <alignment horizontal="left" vertical="center"/>
    </xf>
    <xf numFmtId="0" fontId="6" fillId="0" borderId="37" xfId="1" applyFont="1" applyBorder="1" applyAlignment="1">
      <alignment vertical="center"/>
    </xf>
    <xf numFmtId="0" fontId="16" fillId="0" borderId="37" xfId="1" applyFont="1" applyBorder="1"/>
    <xf numFmtId="0" fontId="16" fillId="0" borderId="38" xfId="1" applyFont="1" applyBorder="1"/>
    <xf numFmtId="0" fontId="16" fillId="0" borderId="3" xfId="1" applyFont="1" applyBorder="1"/>
    <xf numFmtId="0" fontId="6" fillId="0" borderId="13" xfId="1" applyFont="1" applyBorder="1" applyAlignment="1">
      <alignment vertical="center"/>
    </xf>
    <xf numFmtId="0" fontId="19" fillId="0" borderId="3" xfId="1" applyFont="1" applyBorder="1" applyAlignment="1">
      <alignment horizontal="left" vertical="center" wrapText="1"/>
    </xf>
    <xf numFmtId="0" fontId="6" fillId="0" borderId="3" xfId="1" applyFont="1" applyBorder="1" applyAlignment="1">
      <alignment horizontal="left" vertical="center" wrapText="1"/>
    </xf>
  </cellXfs>
  <cellStyles count="2">
    <cellStyle name="표준" xfId="0" builtinId="0"/>
    <cellStyle name="표준 2" xfId="1" xr:uid="{B3663643-7F83-451B-9110-FAD24BC83402}"/>
  </cellStyles>
  <dxfs count="0"/>
  <tableStyles count="0" defaultTableStyle="TableStyleMedium2" defaultPivotStyle="PivotStyleMedium9"/>
  <colors>
    <mruColors>
      <color rgb="FFCCCCCC"/>
      <color rgb="FF343C61"/>
      <color rgb="FFB7B7B7"/>
      <color rgb="FF525979"/>
      <color rgb="FFF5F5F5"/>
      <color rgb="FFEB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227610</xdr:colOff>
      <xdr:row>23</xdr:row>
      <xdr:rowOff>9525</xdr:rowOff>
    </xdr:from>
    <xdr:ext cx="7441871" cy="473955"/>
    <xdr:pic>
      <xdr:nvPicPr>
        <xdr:cNvPr id="2" name="Picture 3">
          <a:extLst>
            <a:ext uri="{FF2B5EF4-FFF2-40B4-BE49-F238E27FC236}">
              <a16:creationId xmlns:a16="http://schemas.microsoft.com/office/drawing/2014/main" id="{4C4C6662-FD73-485A-AE96-0A156568F644}"/>
            </a:ext>
            <a:ext uri="{147F2762-F138-4A5C-976F-8EAC2B608ADB}">
              <a16:predDERef xmlns:a16="http://schemas.microsoft.com/office/drawing/2014/main" pred="{F49E8C48-7ACF-DE07-FA6F-31611082D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91050" y="6882765"/>
          <a:ext cx="7441871" cy="473955"/>
        </a:xfrm>
        <a:prstGeom prst="rect">
          <a:avLst/>
        </a:prstGeom>
      </xdr:spPr>
    </xdr:pic>
    <xdr:clientData/>
  </xdr:oneCellAnchor>
  <xdr:oneCellAnchor>
    <xdr:from>
      <xdr:col>1</xdr:col>
      <xdr:colOff>39587</xdr:colOff>
      <xdr:row>1</xdr:row>
      <xdr:rowOff>171027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7AED0238-98DC-4B26-9B3B-0B04CF1D4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007" y="445347"/>
          <a:ext cx="1454725" cy="33207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83276</xdr:colOff>
      <xdr:row>0</xdr:row>
      <xdr:rowOff>207917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05725D91-9633-44A7-9607-0EF5D3CC5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190" y="207917"/>
          <a:ext cx="1454725" cy="33207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E7F67-0D02-4E1F-AC54-B125B19C60F9}">
  <sheetPr>
    <pageSetUpPr fitToPage="1"/>
  </sheetPr>
  <dimension ref="A1:AO59"/>
  <sheetViews>
    <sheetView topLeftCell="A8" zoomScale="85" zoomScaleNormal="85" zoomScalePageLayoutView="57" workbookViewId="0">
      <selection activeCell="B17" sqref="B17:E17"/>
    </sheetView>
  </sheetViews>
  <sheetFormatPr defaultColWidth="9.125" defaultRowHeight="16.5"/>
  <cols>
    <col min="1" max="1" width="9.125" style="30"/>
    <col min="2" max="2" width="11.25" style="30" bestFit="1" customWidth="1"/>
    <col min="3" max="3" width="1" style="30" customWidth="1"/>
    <col min="4" max="4" width="4.125" style="30" customWidth="1"/>
    <col min="5" max="5" width="35.75" style="30" customWidth="1"/>
    <col min="6" max="6" width="3" style="30" hidden="1" customWidth="1"/>
    <col min="7" max="7" width="6.875" style="30" customWidth="1"/>
    <col min="8" max="8" width="14.25" style="30" bestFit="1" customWidth="1"/>
    <col min="9" max="9" width="1" style="30" customWidth="1"/>
    <col min="10" max="10" width="16.125" style="30" customWidth="1"/>
    <col min="11" max="11" width="0.125" style="30" customWidth="1"/>
    <col min="12" max="12" width="13.125" style="30" customWidth="1"/>
    <col min="13" max="13" width="1" style="62" customWidth="1"/>
    <col min="14" max="14" width="25.25" style="30" customWidth="1"/>
    <col min="15" max="15" width="7" style="30" customWidth="1"/>
    <col min="16" max="16" width="1" style="30" customWidth="1"/>
    <col min="17" max="17" width="9.125" style="30"/>
    <col min="18" max="18" width="3.75" style="30" customWidth="1"/>
    <col min="19" max="16384" width="9.125" style="30"/>
  </cols>
  <sheetData>
    <row r="1" spans="1:41" ht="21.75" customHeight="1">
      <c r="A1" s="29"/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</row>
    <row r="2" spans="1:41" ht="15" customHeight="1">
      <c r="A2" s="29"/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</row>
    <row r="3" spans="1:41" ht="15" customHeight="1">
      <c r="A3" s="29"/>
      <c r="B3" s="29"/>
      <c r="C3" s="29"/>
      <c r="D3" s="29"/>
      <c r="E3" s="29"/>
      <c r="F3" s="29"/>
      <c r="G3" s="29"/>
      <c r="H3" s="31"/>
      <c r="I3" s="31"/>
      <c r="J3" s="31"/>
      <c r="K3" s="31"/>
      <c r="L3" s="29"/>
      <c r="M3" s="32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</row>
    <row r="4" spans="1:41" ht="16.5" customHeight="1">
      <c r="A4" s="33"/>
      <c r="B4" s="33"/>
      <c r="C4" s="33"/>
      <c r="D4" s="33"/>
      <c r="E4" s="33"/>
      <c r="F4" s="29"/>
      <c r="G4" s="34"/>
      <c r="H4" s="34"/>
      <c r="I4" s="34"/>
      <c r="J4" s="34"/>
      <c r="K4" s="34"/>
      <c r="L4" s="34"/>
      <c r="M4" s="35"/>
      <c r="N4" s="34"/>
      <c r="O4" s="34"/>
      <c r="P4" s="34"/>
      <c r="Q4" s="34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</row>
    <row r="5" spans="1:41" ht="21" customHeight="1" thickBot="1">
      <c r="A5" s="33"/>
      <c r="B5" s="36"/>
      <c r="C5" s="36"/>
      <c r="D5" s="36"/>
      <c r="E5" s="36"/>
      <c r="F5" s="32"/>
      <c r="G5" s="35"/>
      <c r="H5" s="37" t="s">
        <v>1</v>
      </c>
      <c r="I5" s="37"/>
      <c r="J5" s="38"/>
      <c r="K5" s="38"/>
      <c r="L5" s="38"/>
      <c r="M5" s="37"/>
      <c r="N5" s="38"/>
      <c r="O5" s="38"/>
      <c r="P5" s="38"/>
      <c r="Q5" s="38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</row>
    <row r="6" spans="1:41" ht="27" customHeight="1" thickTop="1">
      <c r="B6" s="39" t="s">
        <v>2</v>
      </c>
      <c r="C6" s="40"/>
      <c r="D6" s="136">
        <v>26030901</v>
      </c>
      <c r="E6" s="136"/>
      <c r="F6" s="136"/>
      <c r="G6" s="41"/>
      <c r="H6" s="42" t="s">
        <v>3</v>
      </c>
      <c r="I6" s="43"/>
      <c r="J6" s="137" t="s">
        <v>4</v>
      </c>
      <c r="K6" s="137"/>
      <c r="L6" s="42" t="s">
        <v>5</v>
      </c>
      <c r="M6" s="43"/>
      <c r="N6" s="44" t="s">
        <v>6</v>
      </c>
      <c r="O6" s="42" t="s">
        <v>7</v>
      </c>
      <c r="P6" s="43"/>
      <c r="Q6" s="137" t="s">
        <v>8</v>
      </c>
      <c r="R6" s="137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</row>
    <row r="7" spans="1:41" ht="26.25" customHeight="1">
      <c r="A7" s="33"/>
      <c r="B7" s="45" t="s">
        <v>9</v>
      </c>
      <c r="C7" s="46"/>
      <c r="D7" s="138">
        <v>46090</v>
      </c>
      <c r="E7" s="138"/>
      <c r="F7" s="139"/>
      <c r="G7" s="41"/>
      <c r="H7" s="47" t="s">
        <v>10</v>
      </c>
      <c r="I7" s="48"/>
      <c r="J7" s="140" t="s">
        <v>11</v>
      </c>
      <c r="K7" s="140"/>
      <c r="L7" s="47" t="s">
        <v>12</v>
      </c>
      <c r="M7" s="48"/>
      <c r="N7" s="141" t="s">
        <v>13</v>
      </c>
      <c r="O7" s="141"/>
      <c r="P7" s="141"/>
      <c r="Q7" s="141"/>
      <c r="R7" s="141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</row>
    <row r="8" spans="1:41" ht="26.25" customHeight="1">
      <c r="A8" s="33"/>
      <c r="B8" s="45" t="s">
        <v>14</v>
      </c>
      <c r="C8" s="46"/>
      <c r="D8" s="142" t="s">
        <v>15</v>
      </c>
      <c r="E8" s="143"/>
      <c r="F8" s="144"/>
      <c r="G8" s="41"/>
      <c r="H8" s="47" t="s">
        <v>16</v>
      </c>
      <c r="I8" s="48"/>
      <c r="J8" s="140" t="s">
        <v>17</v>
      </c>
      <c r="K8" s="145"/>
      <c r="L8" s="47" t="s">
        <v>18</v>
      </c>
      <c r="M8" s="48"/>
      <c r="N8" s="141" t="s">
        <v>19</v>
      </c>
      <c r="O8" s="141"/>
      <c r="P8" s="141"/>
      <c r="Q8" s="141"/>
      <c r="R8" s="141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</row>
    <row r="9" spans="1:41" ht="27.75" customHeight="1">
      <c r="A9" s="33"/>
      <c r="B9" s="49" t="s">
        <v>20</v>
      </c>
      <c r="C9" s="46"/>
      <c r="D9" s="146" t="s">
        <v>21</v>
      </c>
      <c r="E9" s="146"/>
      <c r="F9" s="146"/>
      <c r="G9" s="41"/>
      <c r="H9" s="50" t="s">
        <v>22</v>
      </c>
      <c r="I9" s="51"/>
      <c r="J9" s="147" t="s">
        <v>23</v>
      </c>
      <c r="K9" s="148"/>
      <c r="L9" s="148"/>
      <c r="M9" s="148"/>
      <c r="N9" s="148"/>
      <c r="O9" s="148"/>
      <c r="P9" s="148"/>
      <c r="Q9" s="148"/>
      <c r="R9" s="148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</row>
    <row r="10" spans="1:41" ht="17.25" thickBot="1">
      <c r="A10" s="33"/>
      <c r="B10" s="52"/>
      <c r="C10" s="52"/>
      <c r="D10" s="52"/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4"/>
      <c r="R10" s="134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</row>
    <row r="11" spans="1:41" ht="50.25" customHeight="1" thickTop="1">
      <c r="A11" s="33"/>
      <c r="B11" s="123" t="s">
        <v>24</v>
      </c>
      <c r="C11" s="123"/>
      <c r="D11" s="123"/>
      <c r="E11" s="124" t="str">
        <f>"일금 "&amp;NUMBERSTRING(K18,1)&amp;" 원정"&amp;TEXT(K18,"(₩#,###)")</f>
        <v>일금 이백구십만 원정(₩2,900,000)</v>
      </c>
      <c r="F11" s="124"/>
      <c r="G11" s="124"/>
      <c r="H11" s="124"/>
      <c r="I11" s="124"/>
      <c r="J11" s="124"/>
      <c r="K11" s="124"/>
      <c r="L11" s="124"/>
      <c r="M11" s="124"/>
      <c r="N11" s="124"/>
      <c r="O11" s="124"/>
      <c r="P11" s="124"/>
      <c r="Q11" s="124"/>
      <c r="R11" s="124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</row>
    <row r="12" spans="1:41" ht="17.25" thickBot="1">
      <c r="A12" s="29"/>
      <c r="B12" s="53"/>
      <c r="C12" s="53"/>
      <c r="D12" s="53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</row>
    <row r="13" spans="1:41" ht="29.25" customHeight="1" thickTop="1">
      <c r="A13" s="29"/>
      <c r="B13" s="126" t="s">
        <v>25</v>
      </c>
      <c r="C13" s="127"/>
      <c r="D13" s="127"/>
      <c r="E13" s="128"/>
      <c r="F13" s="129" t="s">
        <v>26</v>
      </c>
      <c r="G13" s="128"/>
      <c r="H13" s="54" t="s">
        <v>27</v>
      </c>
      <c r="I13" s="130" t="s">
        <v>28</v>
      </c>
      <c r="J13" s="131"/>
      <c r="K13" s="132" t="s">
        <v>29</v>
      </c>
      <c r="L13" s="132"/>
      <c r="M13" s="132"/>
      <c r="N13" s="133"/>
      <c r="O13" s="132" t="s">
        <v>30</v>
      </c>
      <c r="P13" s="132"/>
      <c r="Q13" s="132"/>
      <c r="R13" s="132"/>
      <c r="S13" s="55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</row>
    <row r="14" spans="1:41" ht="28.5" customHeight="1">
      <c r="A14" s="29"/>
      <c r="B14" s="112" t="str">
        <f>Sheet2!C3</f>
        <v>옥상 우레탄방수 3mm (제 2안)</v>
      </c>
      <c r="C14" s="110"/>
      <c r="D14" s="110"/>
      <c r="E14" s="111"/>
      <c r="F14" s="113" t="s">
        <v>31</v>
      </c>
      <c r="G14" s="102"/>
      <c r="H14" s="56">
        <v>1</v>
      </c>
      <c r="I14" s="114"/>
      <c r="J14" s="115"/>
      <c r="K14" s="116">
        <f>Sheet2!M21</f>
        <v>2964800</v>
      </c>
      <c r="L14" s="110"/>
      <c r="M14" s="110"/>
      <c r="N14" s="111"/>
      <c r="O14" s="117"/>
      <c r="P14" s="118"/>
      <c r="Q14" s="118"/>
      <c r="R14" s="119"/>
      <c r="S14" s="55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</row>
    <row r="15" spans="1:41" ht="25.5" customHeight="1">
      <c r="A15" s="29"/>
      <c r="B15" s="120"/>
      <c r="C15" s="121"/>
      <c r="D15" s="121"/>
      <c r="E15" s="122"/>
      <c r="F15" s="104"/>
      <c r="G15" s="104"/>
      <c r="H15" s="57"/>
      <c r="I15" s="105"/>
      <c r="J15" s="104"/>
      <c r="K15" s="100"/>
      <c r="L15" s="101"/>
      <c r="M15" s="101"/>
      <c r="N15" s="102"/>
      <c r="O15" s="97"/>
      <c r="P15" s="98"/>
      <c r="Q15" s="98"/>
      <c r="R15" s="99"/>
      <c r="S15" s="55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</row>
    <row r="16" spans="1:41" ht="25.5" customHeight="1">
      <c r="A16" s="29"/>
      <c r="B16" s="97"/>
      <c r="C16" s="98"/>
      <c r="D16" s="98"/>
      <c r="E16" s="99"/>
      <c r="F16" s="97"/>
      <c r="G16" s="99"/>
      <c r="H16" s="57"/>
      <c r="I16" s="97"/>
      <c r="J16" s="99"/>
      <c r="K16" s="100"/>
      <c r="L16" s="101"/>
      <c r="M16" s="101"/>
      <c r="N16" s="102"/>
      <c r="O16" s="97"/>
      <c r="P16" s="98"/>
      <c r="Q16" s="98"/>
      <c r="R16" s="9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</row>
    <row r="17" spans="1:41" ht="25.5" customHeight="1">
      <c r="A17" s="29"/>
      <c r="B17" s="97"/>
      <c r="C17" s="98"/>
      <c r="D17" s="98"/>
      <c r="E17" s="103"/>
      <c r="F17" s="104"/>
      <c r="G17" s="104"/>
      <c r="H17" s="57"/>
      <c r="I17" s="105"/>
      <c r="J17" s="104"/>
      <c r="K17" s="100"/>
      <c r="L17" s="101"/>
      <c r="M17" s="101"/>
      <c r="N17" s="102"/>
      <c r="O17" s="97"/>
      <c r="P17" s="98"/>
      <c r="Q17" s="98"/>
      <c r="R17" s="99"/>
      <c r="S17" s="55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</row>
    <row r="18" spans="1:41" ht="27" customHeight="1">
      <c r="A18" s="29"/>
      <c r="B18" s="80" t="s">
        <v>32</v>
      </c>
      <c r="C18" s="81"/>
      <c r="D18" s="81"/>
      <c r="E18" s="106"/>
      <c r="F18" s="107"/>
      <c r="G18" s="108"/>
      <c r="H18" s="58"/>
      <c r="I18" s="80"/>
      <c r="J18" s="81"/>
      <c r="K18" s="109">
        <f>Sheet2!M22</f>
        <v>2900000</v>
      </c>
      <c r="L18" s="110"/>
      <c r="M18" s="110"/>
      <c r="N18" s="111"/>
      <c r="O18" s="80" t="s">
        <v>33</v>
      </c>
      <c r="P18" s="81"/>
      <c r="Q18" s="81"/>
      <c r="R18" s="81"/>
      <c r="S18" s="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</row>
    <row r="19" spans="1:41" ht="26.25" customHeight="1">
      <c r="A19" s="29"/>
      <c r="B19" s="82" t="s">
        <v>34</v>
      </c>
      <c r="C19" s="83"/>
      <c r="D19" s="88" t="s">
        <v>35</v>
      </c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90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</row>
    <row r="20" spans="1:41" ht="19.5" customHeight="1">
      <c r="A20" s="29"/>
      <c r="B20" s="84"/>
      <c r="C20" s="85"/>
      <c r="D20" s="91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3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</row>
    <row r="21" spans="1:41" ht="21" customHeight="1">
      <c r="A21" s="29"/>
      <c r="B21" s="84"/>
      <c r="C21" s="85"/>
      <c r="D21" s="91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3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</row>
    <row r="22" spans="1:41">
      <c r="A22" s="29"/>
      <c r="B22" s="86"/>
      <c r="C22" s="87"/>
      <c r="D22" s="94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6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</row>
    <row r="23" spans="1:41">
      <c r="A23" s="2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</row>
    <row r="24" spans="1:41">
      <c r="A24" s="29"/>
      <c r="B24" s="60"/>
      <c r="C24" s="60"/>
      <c r="D24" s="60"/>
      <c r="E24" s="61" t="s">
        <v>36</v>
      </c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</row>
    <row r="25" spans="1:41">
      <c r="A25" s="29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</row>
    <row r="26" spans="1:41">
      <c r="A26" s="29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</row>
    <row r="27" spans="1:41">
      <c r="A27" s="29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</row>
    <row r="28" spans="1:41">
      <c r="A28" s="29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</row>
    <row r="29" spans="1:41">
      <c r="A29" s="29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</row>
    <row r="30" spans="1:41">
      <c r="A30" s="29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</row>
    <row r="31" spans="1:41">
      <c r="A31" s="29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</row>
    <row r="32" spans="1:41">
      <c r="A32" s="29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</row>
    <row r="33" spans="1:41">
      <c r="A33" s="29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</row>
    <row r="34" spans="1:41">
      <c r="A34" s="29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</row>
    <row r="35" spans="1:4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32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</row>
    <row r="36" spans="1:4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32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</row>
    <row r="37" spans="1:4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32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</row>
    <row r="38" spans="1:4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32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</row>
    <row r="39" spans="1:4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32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</row>
    <row r="40" spans="1:4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32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</row>
    <row r="41" spans="1:4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32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</row>
    <row r="42" spans="1:4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32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</row>
    <row r="43" spans="1:4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32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</row>
    <row r="44" spans="1:4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32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</row>
    <row r="45" spans="1:4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32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</row>
    <row r="46" spans="1:4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32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</row>
    <row r="47" spans="1:4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32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</row>
    <row r="48" spans="1:4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32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</row>
    <row r="49" spans="1:4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32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</row>
    <row r="50" spans="1:4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32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</row>
    <row r="51" spans="1:4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32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</row>
    <row r="52" spans="1:4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32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</row>
    <row r="53" spans="1:4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32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</row>
    <row r="54" spans="1:4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32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</row>
    <row r="55" spans="1:4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32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</row>
    <row r="56" spans="1:4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32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</row>
    <row r="57" spans="1:4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32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</row>
    <row r="58" spans="1:4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32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</row>
    <row r="59" spans="1:4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32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</row>
  </sheetData>
  <mergeCells count="48">
    <mergeCell ref="E10:R10"/>
    <mergeCell ref="B1:R2"/>
    <mergeCell ref="D6:F6"/>
    <mergeCell ref="J6:K6"/>
    <mergeCell ref="Q6:R6"/>
    <mergeCell ref="D7:F7"/>
    <mergeCell ref="J7:K7"/>
    <mergeCell ref="N7:R7"/>
    <mergeCell ref="D8:F8"/>
    <mergeCell ref="J8:K8"/>
    <mergeCell ref="N8:R8"/>
    <mergeCell ref="D9:F9"/>
    <mergeCell ref="J9:R9"/>
    <mergeCell ref="B11:D11"/>
    <mergeCell ref="E11:R11"/>
    <mergeCell ref="E12:R12"/>
    <mergeCell ref="B13:E13"/>
    <mergeCell ref="F13:G13"/>
    <mergeCell ref="I13:J13"/>
    <mergeCell ref="K13:N13"/>
    <mergeCell ref="O13:R13"/>
    <mergeCell ref="O14:R14"/>
    <mergeCell ref="B15:E15"/>
    <mergeCell ref="F15:G15"/>
    <mergeCell ref="I15:J15"/>
    <mergeCell ref="K15:N15"/>
    <mergeCell ref="O15:R15"/>
    <mergeCell ref="K18:N18"/>
    <mergeCell ref="B14:E14"/>
    <mergeCell ref="F14:G14"/>
    <mergeCell ref="I14:J14"/>
    <mergeCell ref="K14:N14"/>
    <mergeCell ref="O18:R18"/>
    <mergeCell ref="B19:C22"/>
    <mergeCell ref="D19:R22"/>
    <mergeCell ref="B16:E16"/>
    <mergeCell ref="F16:G16"/>
    <mergeCell ref="I16:J16"/>
    <mergeCell ref="K16:N16"/>
    <mergeCell ref="O16:R16"/>
    <mergeCell ref="B17:E17"/>
    <mergeCell ref="F17:G17"/>
    <mergeCell ref="I17:J17"/>
    <mergeCell ref="K17:N17"/>
    <mergeCell ref="O17:R17"/>
    <mergeCell ref="B18:E18"/>
    <mergeCell ref="F18:G18"/>
    <mergeCell ref="I18:J18"/>
  </mergeCells>
  <phoneticPr fontId="5" type="noConversion"/>
  <pageMargins left="0.7" right="0.7" top="0.75" bottom="0.75" header="0.3" footer="0.3"/>
  <pageSetup paperSize="9"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301AB-4993-45BB-87BA-B3CB34F1205B}">
  <sheetPr codeName="Sheet2">
    <pageSetUpPr fitToPage="1"/>
  </sheetPr>
  <dimension ref="A1:R29"/>
  <sheetViews>
    <sheetView tabSelected="1" zoomScale="70" zoomScaleNormal="70" workbookViewId="0">
      <selection activeCell="K12" sqref="K12"/>
    </sheetView>
  </sheetViews>
  <sheetFormatPr defaultRowHeight="16.5"/>
  <cols>
    <col min="2" max="2" width="18.625" customWidth="1"/>
    <col min="3" max="3" width="17.625" customWidth="1"/>
    <col min="4" max="4" width="7.25" customWidth="1"/>
    <col min="5" max="5" width="9.25" customWidth="1"/>
    <col min="6" max="6" width="11.375" customWidth="1"/>
    <col min="7" max="7" width="13.75" customWidth="1"/>
    <col min="8" max="8" width="11.875" customWidth="1"/>
    <col min="9" max="9" width="14.25" customWidth="1"/>
    <col min="10" max="10" width="11.75" customWidth="1"/>
    <col min="11" max="11" width="14.375" customWidth="1"/>
    <col min="12" max="12" width="10.75" customWidth="1"/>
    <col min="13" max="13" width="17.125" customWidth="1"/>
    <col min="14" max="14" width="10.875" customWidth="1"/>
    <col min="17" max="17" width="7.875" customWidth="1"/>
  </cols>
  <sheetData>
    <row r="1" spans="1:18" ht="30" customHeight="1">
      <c r="A1" s="1"/>
      <c r="D1" s="1"/>
      <c r="E1" s="1"/>
      <c r="F1" s="1"/>
      <c r="O1" s="1"/>
      <c r="P1" s="1"/>
      <c r="Q1" s="1"/>
      <c r="R1" s="1"/>
    </row>
    <row r="2" spans="1:18" ht="30" customHeight="1" thickBot="1">
      <c r="A2" s="1"/>
      <c r="D2" s="1"/>
      <c r="E2" s="1"/>
      <c r="F2" s="1"/>
      <c r="O2" s="1"/>
      <c r="P2" s="1"/>
      <c r="Q2" s="1"/>
      <c r="R2" s="1"/>
    </row>
    <row r="3" spans="1:18" ht="30" customHeight="1" thickTop="1" thickBot="1">
      <c r="A3" s="1"/>
      <c r="B3" s="63" t="s">
        <v>37</v>
      </c>
      <c r="C3" s="77" t="s">
        <v>38</v>
      </c>
      <c r="D3" s="78"/>
      <c r="E3" s="78"/>
      <c r="F3" s="78"/>
      <c r="G3" s="78"/>
      <c r="H3" s="78"/>
      <c r="I3" s="78"/>
      <c r="J3" s="78"/>
      <c r="K3" s="78"/>
      <c r="L3" s="78"/>
      <c r="M3" s="78"/>
      <c r="N3" s="79"/>
    </row>
    <row r="4" spans="1:18" ht="15" customHeight="1" thickBot="1">
      <c r="A4" s="1"/>
      <c r="D4" s="1"/>
      <c r="E4" s="1"/>
      <c r="F4" s="1"/>
    </row>
    <row r="5" spans="1:18" ht="31.9" customHeight="1" thickTop="1">
      <c r="A5" s="1"/>
      <c r="B5" s="64" t="s">
        <v>25</v>
      </c>
      <c r="C5" s="66" t="s">
        <v>26</v>
      </c>
      <c r="D5" s="66" t="s">
        <v>39</v>
      </c>
      <c r="E5" s="66" t="s">
        <v>27</v>
      </c>
      <c r="F5" s="75" t="s">
        <v>40</v>
      </c>
      <c r="G5" s="76"/>
      <c r="H5" s="75" t="s">
        <v>41</v>
      </c>
      <c r="I5" s="76"/>
      <c r="J5" s="75" t="s">
        <v>42</v>
      </c>
      <c r="K5" s="76"/>
      <c r="L5" s="75" t="s">
        <v>43</v>
      </c>
      <c r="M5" s="76"/>
      <c r="N5" s="69" t="s">
        <v>30</v>
      </c>
      <c r="O5" s="1"/>
      <c r="P5" s="1"/>
      <c r="Q5" s="1"/>
      <c r="R5" s="1"/>
    </row>
    <row r="6" spans="1:18" ht="31.35" customHeight="1">
      <c r="A6" s="1"/>
      <c r="B6" s="65"/>
      <c r="C6" s="67"/>
      <c r="D6" s="67"/>
      <c r="E6" s="67"/>
      <c r="F6" s="71" t="s">
        <v>28</v>
      </c>
      <c r="G6" s="70" t="s">
        <v>29</v>
      </c>
      <c r="H6" s="71" t="s">
        <v>28</v>
      </c>
      <c r="I6" s="70" t="s">
        <v>29</v>
      </c>
      <c r="J6" s="71" t="s">
        <v>28</v>
      </c>
      <c r="K6" s="70" t="s">
        <v>29</v>
      </c>
      <c r="L6" s="73" t="s">
        <v>28</v>
      </c>
      <c r="M6" s="72" t="s">
        <v>29</v>
      </c>
      <c r="N6" s="68"/>
      <c r="O6" s="1"/>
      <c r="P6" s="1"/>
      <c r="Q6" s="1"/>
      <c r="R6" s="1"/>
    </row>
    <row r="7" spans="1:18" ht="30" customHeight="1">
      <c r="A7" s="1"/>
      <c r="B7" s="16" t="s">
        <v>44</v>
      </c>
      <c r="C7" s="6" t="s">
        <v>45</v>
      </c>
      <c r="D7" s="11" t="s">
        <v>46</v>
      </c>
      <c r="E7" s="3">
        <v>100</v>
      </c>
      <c r="F7" s="4">
        <v>700</v>
      </c>
      <c r="G7" s="3">
        <f>E7*F7</f>
        <v>70000</v>
      </c>
      <c r="H7" s="4">
        <v>1300</v>
      </c>
      <c r="I7" s="3">
        <f>H7*E7</f>
        <v>130000</v>
      </c>
      <c r="J7" s="4"/>
      <c r="K7" s="4"/>
      <c r="L7" s="5">
        <f>J7+H7+F7</f>
        <v>2000</v>
      </c>
      <c r="M7" s="3">
        <f>SUM(K7+I7+G7)</f>
        <v>200000</v>
      </c>
      <c r="N7" s="11"/>
    </row>
    <row r="8" spans="1:18" ht="34.5">
      <c r="A8" s="1"/>
      <c r="B8" s="26" t="s">
        <v>47</v>
      </c>
      <c r="C8" s="27"/>
      <c r="D8" s="28" t="s">
        <v>48</v>
      </c>
      <c r="E8" s="3">
        <v>1</v>
      </c>
      <c r="F8" s="4"/>
      <c r="G8" s="3"/>
      <c r="H8" s="4"/>
      <c r="I8" s="3"/>
      <c r="J8" s="4"/>
      <c r="K8" s="4"/>
      <c r="L8" s="5">
        <f>SUM(K8+I8+G8)</f>
        <v>0</v>
      </c>
      <c r="M8" s="3">
        <f t="shared" ref="M8:M9" si="0">SUM(K8+I8+G8)</f>
        <v>0</v>
      </c>
      <c r="N8" s="11"/>
    </row>
    <row r="9" spans="1:18" ht="37.9" customHeight="1">
      <c r="A9" s="1"/>
      <c r="B9" s="14" t="s">
        <v>49</v>
      </c>
      <c r="C9" s="74" t="s">
        <v>70</v>
      </c>
      <c r="D9" s="11" t="s">
        <v>46</v>
      </c>
      <c r="E9" s="3">
        <v>100</v>
      </c>
      <c r="F9" s="4">
        <v>1200</v>
      </c>
      <c r="G9" s="3">
        <f t="shared" ref="G9" si="1">E9*F9</f>
        <v>120000</v>
      </c>
      <c r="H9" s="4">
        <v>1400</v>
      </c>
      <c r="I9" s="3">
        <f t="shared" ref="I9" si="2">H9*E9</f>
        <v>140000</v>
      </c>
      <c r="J9" s="4"/>
      <c r="K9" s="4"/>
      <c r="L9" s="5">
        <f t="shared" ref="L9" si="3">J9+H9+F9</f>
        <v>2600</v>
      </c>
      <c r="M9" s="3">
        <f t="shared" si="0"/>
        <v>260000</v>
      </c>
      <c r="N9" s="11"/>
    </row>
    <row r="10" spans="1:18" ht="30" customHeight="1">
      <c r="A10" s="1"/>
      <c r="B10" s="14" t="s">
        <v>50</v>
      </c>
      <c r="C10" s="6" t="s">
        <v>51</v>
      </c>
      <c r="D10" s="11" t="s">
        <v>46</v>
      </c>
      <c r="E10" s="3">
        <v>100</v>
      </c>
      <c r="F10" s="4">
        <v>3000</v>
      </c>
      <c r="G10" s="3">
        <f t="shared" ref="G10:G12" si="4">E10*F10</f>
        <v>300000</v>
      </c>
      <c r="H10" s="4">
        <v>3500</v>
      </c>
      <c r="I10" s="3">
        <f t="shared" ref="I10:I12" si="5">H10*E10</f>
        <v>350000</v>
      </c>
      <c r="J10" s="4">
        <v>400</v>
      </c>
      <c r="K10" s="3">
        <f>J10*E10</f>
        <v>40000</v>
      </c>
      <c r="L10" s="5">
        <f t="shared" ref="L10:L13" si="6">J10+H10+F10</f>
        <v>6900</v>
      </c>
      <c r="M10" s="3">
        <f t="shared" ref="M10:M13" si="7">SUM(K10+I10+G10)</f>
        <v>690000</v>
      </c>
      <c r="N10" s="11"/>
    </row>
    <row r="11" spans="1:18" ht="30" customHeight="1">
      <c r="A11" s="1"/>
      <c r="B11" s="15" t="s">
        <v>52</v>
      </c>
      <c r="C11" s="6" t="s">
        <v>53</v>
      </c>
      <c r="D11" s="11" t="s">
        <v>46</v>
      </c>
      <c r="E11" s="3">
        <v>100</v>
      </c>
      <c r="F11" s="4">
        <v>6000</v>
      </c>
      <c r="G11" s="3">
        <f t="shared" si="4"/>
        <v>600000</v>
      </c>
      <c r="H11" s="4">
        <v>4500</v>
      </c>
      <c r="I11" s="3">
        <f t="shared" si="5"/>
        <v>450000</v>
      </c>
      <c r="J11" s="4">
        <v>500</v>
      </c>
      <c r="K11" s="3">
        <f>J11*E11</f>
        <v>50000</v>
      </c>
      <c r="L11" s="5">
        <f t="shared" si="6"/>
        <v>11000</v>
      </c>
      <c r="M11" s="3">
        <f t="shared" si="7"/>
        <v>1100000</v>
      </c>
      <c r="N11" s="11"/>
    </row>
    <row r="12" spans="1:18" ht="30" customHeight="1">
      <c r="A12" s="1"/>
      <c r="B12" s="15" t="s">
        <v>54</v>
      </c>
      <c r="C12" s="6" t="s">
        <v>55</v>
      </c>
      <c r="D12" s="11" t="s">
        <v>46</v>
      </c>
      <c r="E12" s="3"/>
      <c r="F12" s="4">
        <v>4000</v>
      </c>
      <c r="G12" s="3">
        <f t="shared" si="4"/>
        <v>0</v>
      </c>
      <c r="H12" s="4">
        <v>4500</v>
      </c>
      <c r="I12" s="3">
        <f t="shared" si="5"/>
        <v>0</v>
      </c>
      <c r="J12" s="4"/>
      <c r="K12" s="3"/>
      <c r="L12" s="5">
        <f t="shared" si="6"/>
        <v>8500</v>
      </c>
      <c r="M12" s="3">
        <f>SUM(K12+I12+G12)</f>
        <v>0</v>
      </c>
      <c r="N12" s="11"/>
    </row>
    <row r="13" spans="1:18" ht="30" customHeight="1">
      <c r="B13" s="15" t="s">
        <v>56</v>
      </c>
      <c r="C13" s="6" t="s">
        <v>57</v>
      </c>
      <c r="D13" s="11" t="s">
        <v>46</v>
      </c>
      <c r="E13" s="3">
        <v>100</v>
      </c>
      <c r="F13" s="4">
        <v>2000</v>
      </c>
      <c r="G13" s="3">
        <f t="shared" ref="G13" si="8">E13*F13</f>
        <v>200000</v>
      </c>
      <c r="H13" s="4">
        <v>1500</v>
      </c>
      <c r="I13" s="3">
        <f t="shared" ref="I13" si="9">H13*E13</f>
        <v>150000</v>
      </c>
      <c r="J13" s="4"/>
      <c r="K13" s="4"/>
      <c r="L13" s="5">
        <f t="shared" si="6"/>
        <v>3500</v>
      </c>
      <c r="M13" s="3">
        <f t="shared" si="7"/>
        <v>350000</v>
      </c>
      <c r="N13" s="11"/>
    </row>
    <row r="14" spans="1:18" ht="30" customHeight="1">
      <c r="B14" s="15" t="s">
        <v>58</v>
      </c>
      <c r="C14" s="6"/>
      <c r="D14" s="11" t="s">
        <v>59</v>
      </c>
      <c r="E14" s="3">
        <v>1</v>
      </c>
      <c r="F14" s="3"/>
      <c r="G14" s="3"/>
      <c r="H14" s="3"/>
      <c r="I14" s="3"/>
      <c r="J14" s="3"/>
      <c r="K14" s="3">
        <v>120000</v>
      </c>
      <c r="L14" s="5">
        <f>SUM(K14+I14+G14)</f>
        <v>120000</v>
      </c>
      <c r="M14" s="3">
        <f t="shared" ref="M14:M16" si="10">SUM(K14+I14+G14)</f>
        <v>120000</v>
      </c>
      <c r="N14" s="11"/>
    </row>
    <row r="15" spans="1:18" ht="30" customHeight="1">
      <c r="B15" s="15" t="s">
        <v>60</v>
      </c>
      <c r="C15" s="6"/>
      <c r="D15" s="11" t="s">
        <v>61</v>
      </c>
      <c r="E15" s="3">
        <v>1</v>
      </c>
      <c r="F15" s="3"/>
      <c r="G15" s="3"/>
      <c r="H15" s="3"/>
      <c r="I15" s="3"/>
      <c r="J15" s="3"/>
      <c r="K15" s="3"/>
      <c r="L15" s="5">
        <f>SUM(K15+I15+G15)</f>
        <v>0</v>
      </c>
      <c r="M15" s="3">
        <f t="shared" si="10"/>
        <v>0</v>
      </c>
      <c r="N15" s="11"/>
    </row>
    <row r="16" spans="1:18" ht="30" customHeight="1">
      <c r="B16" s="15" t="s">
        <v>62</v>
      </c>
      <c r="C16" s="6"/>
      <c r="D16" s="11" t="s">
        <v>61</v>
      </c>
      <c r="E16" s="3">
        <v>1</v>
      </c>
      <c r="F16" s="3"/>
      <c r="G16" s="3"/>
      <c r="H16" s="3"/>
      <c r="I16" s="3"/>
      <c r="J16" s="3"/>
      <c r="K16" s="3"/>
      <c r="L16" s="5">
        <f>SUM(K16+I16+G16)</f>
        <v>0</v>
      </c>
      <c r="M16" s="3">
        <f t="shared" si="10"/>
        <v>0</v>
      </c>
      <c r="N16" s="11"/>
    </row>
    <row r="17" spans="2:14" ht="30" customHeight="1">
      <c r="B17" s="15"/>
      <c r="C17" s="6"/>
      <c r="D17" s="11"/>
      <c r="E17" s="3"/>
      <c r="F17" s="3"/>
      <c r="G17" s="3"/>
      <c r="H17" s="3"/>
      <c r="I17" s="3"/>
      <c r="J17" s="3"/>
      <c r="K17" s="3"/>
      <c r="L17" s="5"/>
      <c r="M17" s="3"/>
      <c r="N17" s="11"/>
    </row>
    <row r="18" spans="2:14" ht="30" customHeight="1">
      <c r="B18" s="17" t="s">
        <v>63</v>
      </c>
      <c r="C18" s="7"/>
      <c r="D18" s="8"/>
      <c r="E18" s="2"/>
      <c r="F18" s="2"/>
      <c r="G18" s="9">
        <f>SUM(G7:G17)</f>
        <v>1290000</v>
      </c>
      <c r="H18" s="18"/>
      <c r="I18" s="9">
        <f>SUM(I7:I17)</f>
        <v>1220000</v>
      </c>
      <c r="J18" s="2"/>
      <c r="K18" s="9">
        <f>SUM(K7:K17)</f>
        <v>210000</v>
      </c>
      <c r="L18" s="2"/>
      <c r="M18" s="2">
        <f>SUM(M7:M17)</f>
        <v>2720000</v>
      </c>
      <c r="N18" s="10"/>
    </row>
    <row r="19" spans="2:14" ht="32.450000000000003" customHeight="1">
      <c r="B19" s="19" t="s">
        <v>64</v>
      </c>
      <c r="C19" s="6"/>
      <c r="D19" s="11" t="s">
        <v>65</v>
      </c>
      <c r="E19" s="3">
        <v>3</v>
      </c>
      <c r="F19" s="3"/>
      <c r="G19" s="3"/>
      <c r="H19" s="3"/>
      <c r="I19" s="3"/>
      <c r="J19" s="3"/>
      <c r="K19" s="3"/>
      <c r="L19" s="5"/>
      <c r="M19" s="3">
        <f>M18*0.03</f>
        <v>81600</v>
      </c>
      <c r="N19" s="11"/>
    </row>
    <row r="20" spans="2:14" ht="30" customHeight="1">
      <c r="B20" s="20" t="s">
        <v>66</v>
      </c>
      <c r="C20" s="6"/>
      <c r="D20" s="11" t="s">
        <v>65</v>
      </c>
      <c r="E20" s="3">
        <v>6</v>
      </c>
      <c r="F20" s="3"/>
      <c r="G20" s="3"/>
      <c r="H20" s="3"/>
      <c r="I20" s="3"/>
      <c r="J20" s="3"/>
      <c r="K20" s="3"/>
      <c r="L20" s="5"/>
      <c r="M20" s="3">
        <f>M18*0.06</f>
        <v>163200</v>
      </c>
      <c r="N20" s="11"/>
    </row>
    <row r="21" spans="2:14" ht="30" customHeight="1">
      <c r="B21" s="21" t="s">
        <v>67</v>
      </c>
      <c r="C21" s="22"/>
      <c r="D21" s="10"/>
      <c r="E21" s="10"/>
      <c r="F21" s="12"/>
      <c r="G21" s="9"/>
      <c r="H21" s="10"/>
      <c r="I21" s="9"/>
      <c r="J21" s="10"/>
      <c r="K21" s="9"/>
      <c r="L21" s="10"/>
      <c r="M21" s="9">
        <f>SUM(M18:M20)</f>
        <v>2964800</v>
      </c>
      <c r="N21" s="10"/>
    </row>
    <row r="22" spans="2:14" ht="30" customHeight="1">
      <c r="B22" s="23" t="s">
        <v>68</v>
      </c>
      <c r="C22" s="24"/>
      <c r="D22" s="10"/>
      <c r="E22" s="10"/>
      <c r="F22" s="12"/>
      <c r="G22" s="10"/>
      <c r="H22" s="10"/>
      <c r="I22" s="10"/>
      <c r="J22" s="10"/>
      <c r="K22" s="10"/>
      <c r="L22" s="10"/>
      <c r="M22" s="13">
        <f>FLOOR(M21, 100000)</f>
        <v>2900000</v>
      </c>
      <c r="N22" s="25" t="s">
        <v>69</v>
      </c>
    </row>
    <row r="23" spans="2:14" ht="27" customHeight="1"/>
    <row r="25" spans="2:14" ht="28.35" customHeight="1"/>
    <row r="26" spans="2:14" ht="24" customHeight="1"/>
    <row r="27" spans="2:14" ht="25.9" customHeight="1"/>
    <row r="29" spans="2:14" ht="24" customHeight="1"/>
  </sheetData>
  <mergeCells count="5">
    <mergeCell ref="F5:G5"/>
    <mergeCell ref="H5:I5"/>
    <mergeCell ref="J5:K5"/>
    <mergeCell ref="L5:M5"/>
    <mergeCell ref="C3:N3"/>
  </mergeCells>
  <phoneticPr fontId="5" type="noConversion"/>
  <pageMargins left="0.7" right="0.7" top="0.75" bottom="0.75" header="0.3" footer="0.3"/>
  <pageSetup paperSize="9" scale="7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95D0A-151C-4BB6-802F-0E0401E84F06}">
  <sheetPr codeName="Sheet3"/>
  <dimension ref="A1:A2"/>
  <sheetViews>
    <sheetView workbookViewId="0"/>
  </sheetViews>
  <sheetFormatPr defaultRowHeight="16.5"/>
  <sheetData>
    <row r="1" spans="1:1">
      <c r="A1">
        <v>202504</v>
      </c>
    </row>
    <row r="2" spans="1:1">
      <c r="A2">
        <v>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Sheet1 (2)</vt:lpstr>
      <vt:lpstr>Sheet2</vt:lpstr>
      <vt:lpstr>Config</vt:lpstr>
      <vt:lpstr>'Sheet1 (2)'!Print_Area</vt:lpstr>
      <vt:lpstr>Sheet2!Print_Area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김아라</dc:creator>
  <cp:keywords/>
  <dc:description/>
  <cp:lastModifiedBy>김혜진</cp:lastModifiedBy>
  <cp:revision/>
  <dcterms:created xsi:type="dcterms:W3CDTF">2025-04-06T12:41:57Z</dcterms:created>
  <dcterms:modified xsi:type="dcterms:W3CDTF">2026-03-16T06:11:14Z</dcterms:modified>
  <cp:category/>
  <cp:contentStatus/>
</cp:coreProperties>
</file>