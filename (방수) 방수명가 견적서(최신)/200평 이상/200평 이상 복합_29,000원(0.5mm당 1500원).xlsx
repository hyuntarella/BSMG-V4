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F92B7EF2-D6FB-4AE5-A27C-E41B7DDB8594}" xr6:coauthVersionLast="47" xr6:coauthVersionMax="47" xr10:uidLastSave="{00000000-0000-0000-0000-000000000000}"/>
  <bookViews>
    <workbookView xWindow="1665" yWindow="3345" windowWidth="21600" windowHeight="11295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M17" i="3"/>
  <c r="L17" i="3"/>
  <c r="M16" i="3"/>
  <c r="L16" i="3"/>
  <c r="M15" i="3"/>
  <c r="L15" i="3"/>
  <c r="L14" i="3"/>
  <c r="I14" i="3"/>
  <c r="G14" i="3"/>
  <c r="L13" i="3"/>
  <c r="I13" i="3"/>
  <c r="G13" i="3"/>
  <c r="L12" i="3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M8" i="3"/>
  <c r="L8" i="3"/>
  <c r="L7" i="3"/>
  <c r="I7" i="3"/>
  <c r="M7" i="3" s="1"/>
  <c r="G7" i="3"/>
  <c r="M11" i="3" l="1"/>
  <c r="M9" i="3"/>
  <c r="M13" i="3"/>
  <c r="M14" i="3"/>
  <c r="M10" i="3"/>
  <c r="M12" i="3"/>
  <c r="K18" i="3"/>
  <c r="G18" i="3"/>
  <c r="I18" i="3"/>
  <c r="M18" i="3" l="1"/>
  <c r="M20" i="3" s="1"/>
  <c r="M19" i="3" l="1"/>
  <c r="M21" i="3" s="1"/>
  <c r="K14" i="5" s="1"/>
  <c r="M22" i="3" l="1"/>
  <c r="K18" i="5" s="1"/>
  <c r="E11" i="5" s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<sst xmlns="http://schemas.openxmlformats.org/spreadsheetml/2006/main" count="90" uniqueCount="70">
  <si>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</si>
  <si>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</si>
  <si>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</si>
  <si>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</si>
  <si>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</si>
  <si>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</si>
  <si>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</si>
  <si>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</si>
  <si>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</si>
  <si>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</si>
  <si>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</si>
  <si>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</si>
  <si>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</si>
  <si>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</si>
  <si>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</si>
  <si>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</si>
  <si>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</si>
  <si>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</si>
  <si>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</si>
  <si>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</si>
  <si>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</si>
  <si>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</si>
  <si>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</si>
  <si>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</si>
  <si>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</si>
  <si>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</si>
  <si>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</si>
  <si>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</si>
  <si>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</si>
  <si>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</si>
  <si>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</si>
  <si>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</si>
  <si>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</si>
  <si>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</si>
  <si>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</si>
  <si>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</si>
  <si>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</si>
  <si>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</si>
  <si>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</si>
  <si>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</si>
  <si>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</si>
  <si>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</si>
  <si>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</si>
  <si>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</si>
  <si>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</si>
  <si>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</si>
  <si>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</si>
  <si>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</si>
  <si>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</si>
  <si>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</si>
  <si>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</si>
  <si>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</si>
  <si>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</si>
  <si>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</si>
  <si>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</si>
  <si>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</si>
  <si>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</si>
  <si>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</si>
  <si>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</si>
  <si>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</si>
  <si>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</si>
  <si>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</si>
  <si>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</si>
  <si>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t>바탕조정제
부분미장</t>
    <phoneticPr fontId="5" type="noConversion"/>
  </si>
  <si>
    <t>식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</si>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</sst>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0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25" fillId="0" borderId="0"/>
  </cellStyleXfs>
  <cellXfs count="147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2" fillId="7" borderId="33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7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7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3" fillId="0" borderId="26" xfId="1" applyFont="1" applyBorder="1"/>
    <xf numFmtId="0" fontId="13" fillId="0" borderId="27" xfId="1" applyFont="1" applyBorder="1"/>
    <xf numFmtId="0" fontId="13" fillId="0" borderId="20" xfId="1" applyFont="1" applyBorder="1"/>
    <xf numFmtId="0" fontId="6" fillId="0" borderId="0" xfId="1" applyFont="1"/>
    <xf numFmtId="0" fontId="13" fillId="0" borderId="28" xfId="1" applyFont="1" applyBorder="1"/>
    <xf numFmtId="0" fontId="13" fillId="0" borderId="29" xfId="1" applyFont="1" applyBorder="1"/>
    <xf numFmtId="0" fontId="13" fillId="0" borderId="30" xfId="1" applyFont="1" applyBorder="1"/>
    <xf numFmtId="0" fontId="13" fillId="0" borderId="15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3" fillId="0" borderId="23" xfId="1" applyFont="1" applyBorder="1"/>
    <xf numFmtId="0" fontId="13" fillId="0" borderId="24" xfId="1" applyFont="1" applyBorder="1"/>
    <xf numFmtId="0" fontId="6" fillId="0" borderId="48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21" fillId="0" borderId="16" xfId="0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/>
    </xf>
    <xf numFmtId="0" fontId="13" fillId="0" borderId="37" xfId="1" applyFont="1" applyBorder="1"/>
    <xf numFmtId="0" fontId="13" fillId="0" borderId="38" xfId="1" applyFont="1" applyBorder="1"/>
    <xf numFmtId="0" fontId="6" fillId="0" borderId="3" xfId="1" applyFont="1" applyBorder="1" applyAlignment="1">
      <alignment vertical="center"/>
    </xf>
    <xf numFmtId="0" fontId="13" fillId="0" borderId="3" xfId="1" applyFont="1" applyBorder="1"/>
    <xf numFmtId="0" fontId="6" fillId="0" borderId="3" xfId="1" applyFont="1" applyBorder="1" applyAlignment="1">
      <alignment horizontal="left" vertical="center"/>
    </xf>
    <xf numFmtId="0" fontId="6" fillId="0" borderId="13" xfId="1" applyFont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</cellXfs>
  <cellStyles count="2">
    <cellStyle name="표준" xfId="0" builtinId="0"/>
    <cellStyle name="표준 2" xfId="1" xr:uid="{81F08F4B-99A2-4CD3-8266-87011952DDEC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4E6D8D6D-F698-4620-A6DD-0F2BA810685B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D796A684-6C15-46F5-8737-779028B5A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F5081813-115E-4DFF-B87B-BF2B8D80D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5B50-A694-4EF1-BF10-598AE15BC277}">
  <sheetPr>
    <pageSetUpPr fitToPage="1"/>
  </sheetPr>
  <dimension ref="A1:AO59"/>
  <sheetViews>
    <sheetView tabSelected="1" zoomScale="85" zoomScaleNormal="85" zoomScalePageLayoutView="57" workbookViewId="0">
      <selection activeCell="B14" sqref="B14:E14"/>
    </sheetView>
  </sheetViews>
  <sheetFormatPr defaultColWidth="9.125" defaultRowHeight="16.5"/>
  <cols>
    <col min="1" max="1" width="9.125" style="30"/>
    <col min="2" max="2" width="11.25" style="30" bestFit="1" customWidth="1"/>
    <col min="3" max="3" width="1" style="30" customWidth="1"/>
    <col min="4" max="4" width="4.125" style="30" customWidth="1"/>
    <col min="5" max="5" width="35.75" style="30" customWidth="1"/>
    <col min="6" max="6" width="3" style="30" hidden="1" customWidth="1"/>
    <col min="7" max="7" width="6.875" style="30" customWidth="1"/>
    <col min="8" max="8" width="14.25" style="30" bestFit="1" customWidth="1"/>
    <col min="9" max="9" width="1" style="30" customWidth="1"/>
    <col min="10" max="10" width="16.125" style="30" customWidth="1"/>
    <col min="11" max="11" width="0.125" style="30" customWidth="1"/>
    <col min="12" max="12" width="13.125" style="30" customWidth="1"/>
    <col min="13" max="13" width="1" style="62" customWidth="1"/>
    <col min="14" max="14" width="25.25" style="30" customWidth="1"/>
    <col min="15" max="15" width="7" style="30" customWidth="1"/>
    <col min="16" max="16" width="1" style="30" customWidth="1"/>
    <col min="17" max="17" width="9.125" style="30"/>
    <col min="18" max="18" width="3.75" style="30" customWidth="1"/>
    <col min="19" max="16384" width="9.125" style="30"/>
  </cols>
  <sheetData>
    <row r="1" spans="1:41" ht="21.75" customHeight="1">
      <c r="A1" s="29"/>
      <c r="B1" s="142" t="s">
        <v>0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</row>
    <row r="2" spans="1:41" ht="15" customHeight="1">
      <c r="A2" s="29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r="3" spans="1:41" ht="15" customHeight="1">
      <c r="A3" s="29"/>
      <c r="B3" s="29"/>
      <c r="C3" s="29"/>
      <c r="D3" s="29"/>
      <c r="E3" s="29"/>
      <c r="F3" s="29"/>
      <c r="G3" s="29"/>
      <c r="H3" s="31"/>
      <c r="I3" s="31"/>
      <c r="J3" s="31"/>
      <c r="K3" s="31"/>
      <c r="L3" s="29"/>
      <c r="M3" s="32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4" spans="1:41" ht="16.5" customHeight="1">
      <c r="A4" s="33"/>
      <c r="B4" s="33"/>
      <c r="C4" s="33"/>
      <c r="D4" s="33"/>
      <c r="E4" s="33"/>
      <c r="F4" s="29"/>
      <c r="G4" s="34"/>
      <c r="H4" s="34"/>
      <c r="I4" s="34"/>
      <c r="J4" s="34"/>
      <c r="K4" s="34"/>
      <c r="L4" s="34"/>
      <c r="M4" s="35"/>
      <c r="N4" s="34"/>
      <c r="O4" s="34"/>
      <c r="P4" s="34"/>
      <c r="Q4" s="34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</row>
    <row r="5" spans="1:41" ht="21" customHeight="1" thickBot="1">
      <c r="A5" s="33"/>
      <c r="B5" s="36"/>
      <c r="C5" s="36"/>
      <c r="D5" s="36"/>
      <c r="E5" s="36"/>
      <c r="F5" s="32"/>
      <c r="G5" s="35"/>
      <c r="H5" s="37" t="s">
        <v>1</v>
      </c>
      <c r="I5" s="37"/>
      <c r="J5" s="38"/>
      <c r="K5" s="38"/>
      <c r="L5" s="38"/>
      <c r="M5" s="37"/>
      <c r="N5" s="38"/>
      <c r="O5" s="38"/>
      <c r="P5" s="38"/>
      <c r="Q5" s="38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</row>
    <row r="6" spans="1:41" ht="27" customHeight="1" thickTop="1">
      <c r="B6" s="39" t="s">
        <v>2</v>
      </c>
      <c r="C6" s="40"/>
      <c r="D6" s="143">
        <v>26030901</v>
      </c>
      <c r="E6" s="143"/>
      <c r="F6" s="143"/>
      <c r="G6" s="41"/>
      <c r="H6" s="42" t="s">
        <v>3</v>
      </c>
      <c r="I6" s="43"/>
      <c r="J6" s="144" t="s">
        <v>4</v>
      </c>
      <c r="K6" s="144"/>
      <c r="L6" s="42" t="s">
        <v>5</v>
      </c>
      <c r="M6" s="43"/>
      <c r="N6" s="44" t="s">
        <v>6</v>
      </c>
      <c r="O6" s="42" t="s">
        <v>7</v>
      </c>
      <c r="P6" s="43"/>
      <c r="Q6" s="144" t="s">
        <v>8</v>
      </c>
      <c r="R6" s="144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</row>
    <row r="7" spans="1:41" ht="26.25" customHeight="1">
      <c r="A7" s="33"/>
      <c r="B7" s="45" t="s">
        <v>9</v>
      </c>
      <c r="C7" s="46"/>
      <c r="D7" s="145">
        <v>46090</v>
      </c>
      <c r="E7" s="145"/>
      <c r="F7" s="146"/>
      <c r="G7" s="41"/>
      <c r="H7" s="47" t="s">
        <v>10</v>
      </c>
      <c r="I7" s="48"/>
      <c r="J7" s="135" t="s">
        <v>11</v>
      </c>
      <c r="K7" s="135"/>
      <c r="L7" s="47" t="s">
        <v>12</v>
      </c>
      <c r="M7" s="48"/>
      <c r="N7" s="137" t="s">
        <v>13</v>
      </c>
      <c r="O7" s="137"/>
      <c r="P7" s="137"/>
      <c r="Q7" s="137"/>
      <c r="R7" s="137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26.25" customHeight="1">
      <c r="A8" s="33"/>
      <c r="B8" s="45" t="s">
        <v>14</v>
      </c>
      <c r="C8" s="46"/>
      <c r="D8" s="132" t="s">
        <v>60</v>
      </c>
      <c r="E8" s="133"/>
      <c r="F8" s="134"/>
      <c r="G8" s="41"/>
      <c r="H8" s="47" t="s">
        <v>15</v>
      </c>
      <c r="I8" s="48"/>
      <c r="J8" s="135" t="s">
        <v>67</v>
      </c>
      <c r="K8" s="136"/>
      <c r="L8" s="47" t="s">
        <v>16</v>
      </c>
      <c r="M8" s="48"/>
      <c r="N8" s="137" t="s">
        <v>17</v>
      </c>
      <c r="O8" s="137"/>
      <c r="P8" s="137"/>
      <c r="Q8" s="137"/>
      <c r="R8" s="137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</row>
    <row r="9" spans="1:41" ht="27.75" customHeight="1">
      <c r="A9" s="33"/>
      <c r="B9" s="49" t="s">
        <v>18</v>
      </c>
      <c r="C9" s="46"/>
      <c r="D9" s="138" t="s">
        <v>19</v>
      </c>
      <c r="E9" s="138"/>
      <c r="F9" s="138"/>
      <c r="G9" s="41"/>
      <c r="H9" s="50" t="s">
        <v>20</v>
      </c>
      <c r="I9" s="51"/>
      <c r="J9" s="139" t="s">
        <v>68</v>
      </c>
      <c r="K9" s="140"/>
      <c r="L9" s="140"/>
      <c r="M9" s="140"/>
      <c r="N9" s="140"/>
      <c r="O9" s="140"/>
      <c r="P9" s="140"/>
      <c r="Q9" s="140"/>
      <c r="R9" s="140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</row>
    <row r="10" spans="1:41" ht="17.25" thickBot="1">
      <c r="A10" s="33"/>
      <c r="B10" s="52"/>
      <c r="C10" s="52"/>
      <c r="D10" s="52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</row>
    <row r="11" spans="1:41" ht="50.25" customHeight="1" thickTop="1">
      <c r="A11" s="33"/>
      <c r="B11" s="121" t="s">
        <v>21</v>
      </c>
      <c r="C11" s="121"/>
      <c r="D11" s="121"/>
      <c r="E11" s="122" t="str">
        <f>"일금 "&amp;NUMBERSTRING(K18,1)&amp;" 원정"&amp;TEXT(K18,"(₩#,###)")</f>
        <v>일금 삼백이십만 원정(₩3,200,000)</v>
      </c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</row>
    <row r="12" spans="1:41" ht="17.25" thickBot="1">
      <c r="A12" s="29"/>
      <c r="B12" s="53"/>
      <c r="C12" s="53"/>
      <c r="D12" s="5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</row>
    <row r="13" spans="1:41" ht="29.25" customHeight="1" thickTop="1">
      <c r="A13" s="29"/>
      <c r="B13" s="124" t="s">
        <v>22</v>
      </c>
      <c r="C13" s="125"/>
      <c r="D13" s="125"/>
      <c r="E13" s="126"/>
      <c r="F13" s="127" t="s">
        <v>23</v>
      </c>
      <c r="G13" s="126"/>
      <c r="H13" s="54" t="s">
        <v>24</v>
      </c>
      <c r="I13" s="128" t="s">
        <v>25</v>
      </c>
      <c r="J13" s="129"/>
      <c r="K13" s="130" t="s">
        <v>26</v>
      </c>
      <c r="L13" s="130"/>
      <c r="M13" s="130"/>
      <c r="N13" s="131"/>
      <c r="O13" s="130" t="s">
        <v>27</v>
      </c>
      <c r="P13" s="130"/>
      <c r="Q13" s="130"/>
      <c r="R13" s="130"/>
      <c r="S13" s="55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</row>
    <row r="14" spans="1:41" ht="28.5" customHeight="1">
      <c r="A14" s="29"/>
      <c r="B14" s="110" t="str">
        <f>Sheet2!C3</f>
        <v>옥상 이중복합방수 3.8mm (제 1안)</v>
      </c>
      <c r="C14" s="84"/>
      <c r="D14" s="84"/>
      <c r="E14" s="85"/>
      <c r="F14" s="111" t="s">
        <v>28</v>
      </c>
      <c r="G14" s="106"/>
      <c r="H14" s="56">
        <v>1</v>
      </c>
      <c r="I14" s="112"/>
      <c r="J14" s="113"/>
      <c r="K14" s="114">
        <f>Sheet2!M21</f>
        <v>3291800</v>
      </c>
      <c r="L14" s="84"/>
      <c r="M14" s="84"/>
      <c r="N14" s="85"/>
      <c r="O14" s="115"/>
      <c r="P14" s="116"/>
      <c r="Q14" s="116"/>
      <c r="R14" s="117"/>
      <c r="S14" s="55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r="15" spans="1:41" ht="25.5" customHeight="1">
      <c r="A15" s="29"/>
      <c r="B15" s="118"/>
      <c r="C15" s="119"/>
      <c r="D15" s="119"/>
      <c r="E15" s="120"/>
      <c r="F15" s="108"/>
      <c r="G15" s="108"/>
      <c r="H15" s="57"/>
      <c r="I15" s="109"/>
      <c r="J15" s="108"/>
      <c r="K15" s="104"/>
      <c r="L15" s="105"/>
      <c r="M15" s="105"/>
      <c r="N15" s="106"/>
      <c r="O15" s="101"/>
      <c r="P15" s="102"/>
      <c r="Q15" s="102"/>
      <c r="R15" s="103"/>
      <c r="S15" s="55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r="16" spans="1:41" ht="25.5" customHeight="1">
      <c r="A16" s="29"/>
      <c r="B16" s="101"/>
      <c r="C16" s="102"/>
      <c r="D16" s="102"/>
      <c r="E16" s="103"/>
      <c r="F16" s="101"/>
      <c r="G16" s="103"/>
      <c r="H16" s="57"/>
      <c r="I16" s="101"/>
      <c r="J16" s="103"/>
      <c r="K16" s="104"/>
      <c r="L16" s="105"/>
      <c r="M16" s="105"/>
      <c r="N16" s="106"/>
      <c r="O16" s="101"/>
      <c r="P16" s="102"/>
      <c r="Q16" s="102"/>
      <c r="R16" s="103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</row>
    <row r="17" spans="1:41" ht="25.5" customHeight="1">
      <c r="A17" s="29"/>
      <c r="B17" s="101"/>
      <c r="C17" s="102"/>
      <c r="D17" s="102"/>
      <c r="E17" s="107"/>
      <c r="F17" s="108"/>
      <c r="G17" s="108"/>
      <c r="H17" s="57"/>
      <c r="I17" s="109"/>
      <c r="J17" s="108"/>
      <c r="K17" s="104"/>
      <c r="L17" s="105"/>
      <c r="M17" s="105"/>
      <c r="N17" s="106"/>
      <c r="O17" s="101"/>
      <c r="P17" s="102"/>
      <c r="Q17" s="102"/>
      <c r="R17" s="103"/>
      <c r="S17" s="55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</row>
    <row r="18" spans="1:41" ht="27" customHeight="1">
      <c r="A18" s="29"/>
      <c r="B18" s="78" t="s">
        <v>29</v>
      </c>
      <c r="C18" s="79"/>
      <c r="D18" s="79"/>
      <c r="E18" s="80"/>
      <c r="F18" s="81"/>
      <c r="G18" s="82"/>
      <c r="H18" s="58"/>
      <c r="I18" s="78"/>
      <c r="J18" s="79"/>
      <c r="K18" s="83">
        <f>Sheet2!M22</f>
        <v>3200000</v>
      </c>
      <c r="L18" s="84"/>
      <c r="M18" s="84"/>
      <c r="N18" s="85"/>
      <c r="O18" s="78" t="s">
        <v>38</v>
      </c>
      <c r="P18" s="79"/>
      <c r="Q18" s="79"/>
      <c r="R18" s="79"/>
      <c r="S18" s="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</row>
    <row r="19" spans="1:41" ht="26.25" customHeight="1">
      <c r="A19" s="29"/>
      <c r="B19" s="86" t="s">
        <v>61</v>
      </c>
      <c r="C19" s="87"/>
      <c r="D19" s="92" t="s">
        <v>62</v>
      </c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4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</row>
    <row r="20" spans="1:41" ht="19.5" customHeight="1">
      <c r="A20" s="29"/>
      <c r="B20" s="88"/>
      <c r="C20" s="89"/>
      <c r="D20" s="95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7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</row>
    <row r="21" spans="1:41" ht="21" customHeight="1">
      <c r="A21" s="29"/>
      <c r="B21" s="88"/>
      <c r="C21" s="89"/>
      <c r="D21" s="95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7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</row>
    <row r="22" spans="1:41">
      <c r="A22" s="29"/>
      <c r="B22" s="90"/>
      <c r="C22" s="91"/>
      <c r="D22" s="98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100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</row>
    <row r="23" spans="1:41">
      <c r="A23" s="2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</row>
    <row r="24" spans="1:41">
      <c r="A24" s="29"/>
      <c r="B24" s="60"/>
      <c r="C24" s="60"/>
      <c r="D24" s="60"/>
      <c r="E24" s="61" t="s">
        <v>69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</row>
    <row r="25" spans="1:41">
      <c r="A25" s="2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</row>
    <row r="26" spans="1:41">
      <c r="A26" s="2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</row>
    <row r="27" spans="1:41">
      <c r="A27" s="2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</row>
    <row r="28" spans="1:41">
      <c r="A28" s="2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</row>
    <row r="29" spans="1:41">
      <c r="A29" s="2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</row>
    <row r="30" spans="1:41">
      <c r="A30" s="2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</row>
    <row r="31" spans="1:41">
      <c r="A31" s="2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</row>
    <row r="32" spans="1:41">
      <c r="A32" s="2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</row>
    <row r="33" spans="1:41">
      <c r="A33" s="2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  <row r="34" spans="1:41">
      <c r="A34" s="2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</row>
    <row r="35" spans="1:4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2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</row>
    <row r="36" spans="1:4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2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</row>
    <row r="37" spans="1:4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2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</row>
    <row r="38" spans="1:4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2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</row>
    <row r="39" spans="1:4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2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</row>
    <row r="40" spans="1:4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</row>
    <row r="41" spans="1: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</row>
    <row r="42" spans="1:4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2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</row>
    <row r="43" spans="1:4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32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</row>
    <row r="44" spans="1:4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2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</row>
    <row r="45" spans="1:4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2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</row>
    <row r="46" spans="1:4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2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</row>
    <row r="47" spans="1:4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32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</row>
    <row r="48" spans="1:4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32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</row>
    <row r="49" spans="1:4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32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</row>
    <row r="50" spans="1:4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32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</row>
    <row r="51" spans="1:4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2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</row>
    <row r="52" spans="1:4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32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</row>
    <row r="53" spans="1:4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32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</row>
    <row r="54" spans="1:4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32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</row>
    <row r="55" spans="1:4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32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</row>
    <row r="56" spans="1:4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2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</row>
    <row r="57" spans="1:4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32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</row>
    <row r="58" spans="1:4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32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</row>
    <row r="59" spans="1:4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32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</row>
  </sheetData>
  <mergeCells count="48"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B11:D11"/>
    <mergeCell ref="E11:R11"/>
    <mergeCell ref="E12:R12"/>
    <mergeCell ref="B13:E13"/>
    <mergeCell ref="F13:G13"/>
    <mergeCell ref="I13:J13"/>
    <mergeCell ref="K13:N13"/>
    <mergeCell ref="O13:R13"/>
    <mergeCell ref="B15:E15"/>
    <mergeCell ref="F15:G15"/>
    <mergeCell ref="I15:J15"/>
    <mergeCell ref="K15:N15"/>
    <mergeCell ref="O15:R15"/>
    <mergeCell ref="B14:E14"/>
    <mergeCell ref="F14:G14"/>
    <mergeCell ref="I14:J14"/>
    <mergeCell ref="K14:N14"/>
    <mergeCell ref="O14:R14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O18:R18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zoomScale="70" zoomScaleNormal="70" workbookViewId="0">
      <selection activeCell="J13" sqref="J13:K13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63" t="s">
        <v>65</v>
      </c>
      <c r="C3" s="75" t="s">
        <v>66</v>
      </c>
      <c r="D3" s="76"/>
      <c r="E3" s="76"/>
      <c r="F3" s="76"/>
      <c r="G3" s="76"/>
      <c r="H3" s="76"/>
      <c r="I3" s="76"/>
      <c r="J3" s="76"/>
      <c r="K3" s="76"/>
      <c r="L3" s="76"/>
      <c r="M3" s="76"/>
      <c r="N3" s="77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4" t="s">
        <v>22</v>
      </c>
      <c r="C5" s="66" t="s">
        <v>23</v>
      </c>
      <c r="D5" s="66" t="s">
        <v>30</v>
      </c>
      <c r="E5" s="66" t="s">
        <v>24</v>
      </c>
      <c r="F5" s="73" t="s">
        <v>31</v>
      </c>
      <c r="G5" s="74"/>
      <c r="H5" s="73" t="s">
        <v>32</v>
      </c>
      <c r="I5" s="74"/>
      <c r="J5" s="73" t="s">
        <v>33</v>
      </c>
      <c r="K5" s="74"/>
      <c r="L5" s="73" t="s">
        <v>37</v>
      </c>
      <c r="M5" s="74"/>
      <c r="N5" s="72" t="s">
        <v>27</v>
      </c>
    </row>
    <row r="6" spans="1:18" ht="31.35" customHeight="1">
      <c r="A6" s="1"/>
      <c r="B6" s="65"/>
      <c r="C6" s="67"/>
      <c r="D6" s="67"/>
      <c r="E6" s="67"/>
      <c r="F6" s="68" t="s">
        <v>25</v>
      </c>
      <c r="G6" s="67" t="s">
        <v>26</v>
      </c>
      <c r="H6" s="70" t="s">
        <v>25</v>
      </c>
      <c r="I6" s="69" t="s">
        <v>26</v>
      </c>
      <c r="J6" s="70" t="s">
        <v>25</v>
      </c>
      <c r="K6" s="69" t="s">
        <v>26</v>
      </c>
      <c r="L6" s="70" t="s">
        <v>25</v>
      </c>
      <c r="M6" s="69" t="s">
        <v>26</v>
      </c>
      <c r="N6" s="71"/>
      <c r="O6" s="1"/>
      <c r="P6" s="1"/>
      <c r="Q6" s="1"/>
      <c r="R6" s="1"/>
    </row>
    <row r="7" spans="1:18" ht="30" customHeight="1">
      <c r="A7" s="1"/>
      <c r="B7" s="15" t="s">
        <v>39</v>
      </c>
      <c r="C7" s="16"/>
      <c r="D7" s="11" t="s">
        <v>35</v>
      </c>
      <c r="E7" s="3">
        <v>100</v>
      </c>
      <c r="F7" s="4">
        <v>300</v>
      </c>
      <c r="G7" s="3">
        <f>E7*F7</f>
        <v>30000</v>
      </c>
      <c r="H7" s="4">
        <v>700</v>
      </c>
      <c r="I7" s="3">
        <f>H7*E7</f>
        <v>70000</v>
      </c>
      <c r="J7" s="4"/>
      <c r="K7" s="4"/>
      <c r="L7" s="5">
        <f>J7+H7+F7</f>
        <v>1000</v>
      </c>
      <c r="M7" s="3">
        <f>SUM(K7+I7+G7)</f>
        <v>100000</v>
      </c>
      <c r="N7" s="11"/>
    </row>
    <row r="8" spans="1:18" ht="34.5">
      <c r="A8" s="1"/>
      <c r="B8" s="27" t="s">
        <v>63</v>
      </c>
      <c r="C8" s="16"/>
      <c r="D8" s="28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>SUM(K8+I8+G8)</f>
        <v>0</v>
      </c>
      <c r="N8" s="11"/>
    </row>
    <row r="9" spans="1:18" ht="30" customHeight="1">
      <c r="A9" s="1"/>
      <c r="B9" s="17" t="s">
        <v>40</v>
      </c>
      <c r="C9" s="6"/>
      <c r="D9" s="11" t="s">
        <v>35</v>
      </c>
      <c r="E9" s="3">
        <v>100</v>
      </c>
      <c r="F9" s="4">
        <v>600</v>
      </c>
      <c r="G9" s="3">
        <f t="shared" ref="G9:G14" si="0">E9*F9</f>
        <v>60000</v>
      </c>
      <c r="H9" s="4">
        <v>1200</v>
      </c>
      <c r="I9" s="3">
        <f t="shared" ref="I9:I14" si="1">H9*E9</f>
        <v>120000</v>
      </c>
      <c r="J9" s="4"/>
      <c r="K9" s="4"/>
      <c r="L9" s="5">
        <f t="shared" ref="L9:L14" si="2">J9+H9+F9</f>
        <v>1800</v>
      </c>
      <c r="M9" s="3">
        <f t="shared" ref="M9:M12" si="3">SUM(K9+I9+G9)</f>
        <v>180000</v>
      </c>
      <c r="N9" s="11"/>
    </row>
    <row r="10" spans="1:18" ht="30" customHeight="1">
      <c r="A10" s="1"/>
      <c r="B10" s="18" t="s">
        <v>41</v>
      </c>
      <c r="C10" s="6" t="s">
        <v>36</v>
      </c>
      <c r="D10" s="11" t="s">
        <v>35</v>
      </c>
      <c r="E10" s="3">
        <v>100</v>
      </c>
      <c r="F10" s="4">
        <v>7800</v>
      </c>
      <c r="G10" s="3">
        <f t="shared" si="0"/>
        <v>780000</v>
      </c>
      <c r="H10" s="4">
        <v>4000</v>
      </c>
      <c r="I10" s="3">
        <f t="shared" si="1"/>
        <v>400000</v>
      </c>
      <c r="J10" s="4">
        <v>200</v>
      </c>
      <c r="K10" s="3">
        <f>J10*E10</f>
        <v>20000</v>
      </c>
      <c r="L10" s="5">
        <f t="shared" si="2"/>
        <v>12000</v>
      </c>
      <c r="M10" s="3">
        <f t="shared" si="3"/>
        <v>1200000</v>
      </c>
      <c r="N10" s="11"/>
    </row>
    <row r="11" spans="1:18" ht="34.5">
      <c r="A11" s="1"/>
      <c r="B11" s="18" t="s">
        <v>42</v>
      </c>
      <c r="C11" s="6"/>
      <c r="D11" s="11" t="s">
        <v>35</v>
      </c>
      <c r="E11" s="3">
        <v>100</v>
      </c>
      <c r="F11" s="4">
        <v>900</v>
      </c>
      <c r="G11" s="3">
        <f t="shared" si="0"/>
        <v>90000</v>
      </c>
      <c r="H11" s="4">
        <v>1100</v>
      </c>
      <c r="I11" s="3">
        <f t="shared" si="1"/>
        <v>110000</v>
      </c>
      <c r="J11" s="4"/>
      <c r="K11" s="4"/>
      <c r="L11" s="5">
        <f t="shared" si="2"/>
        <v>2000</v>
      </c>
      <c r="M11" s="3">
        <f t="shared" si="3"/>
        <v>200000</v>
      </c>
      <c r="N11" s="11"/>
    </row>
    <row r="12" spans="1:18" ht="30" customHeight="1">
      <c r="A12" s="1"/>
      <c r="B12" s="17" t="s">
        <v>43</v>
      </c>
      <c r="C12" s="6" t="s">
        <v>44</v>
      </c>
      <c r="D12" s="11" t="s">
        <v>35</v>
      </c>
      <c r="E12" s="3">
        <v>100</v>
      </c>
      <c r="F12" s="4">
        <v>4500</v>
      </c>
      <c r="G12" s="3">
        <f t="shared" si="0"/>
        <v>450000</v>
      </c>
      <c r="H12" s="4">
        <v>4000</v>
      </c>
      <c r="I12" s="3">
        <f t="shared" si="1"/>
        <v>400000</v>
      </c>
      <c r="J12" s="4">
        <v>200</v>
      </c>
      <c r="K12" s="3">
        <f>J12*E12</f>
        <v>20000</v>
      </c>
      <c r="L12" s="5">
        <f t="shared" si="2"/>
        <v>8700</v>
      </c>
      <c r="M12" s="3">
        <f t="shared" si="3"/>
        <v>870000</v>
      </c>
      <c r="N12" s="11"/>
    </row>
    <row r="13" spans="1:18" ht="30" customHeight="1">
      <c r="B13" s="17" t="s">
        <v>45</v>
      </c>
      <c r="C13" s="6" t="s">
        <v>46</v>
      </c>
      <c r="D13" s="11" t="s">
        <v>35</v>
      </c>
      <c r="E13" s="3"/>
      <c r="F13" s="4">
        <v>4000</v>
      </c>
      <c r="G13" s="3">
        <f t="shared" si="0"/>
        <v>0</v>
      </c>
      <c r="H13" s="4">
        <v>4500</v>
      </c>
      <c r="I13" s="3">
        <f t="shared" si="1"/>
        <v>0</v>
      </c>
      <c r="J13" s="4"/>
      <c r="K13" s="3"/>
      <c r="L13" s="5">
        <f t="shared" si="2"/>
        <v>8500</v>
      </c>
      <c r="M13" s="3">
        <f>SUM(K13+I13+G13)</f>
        <v>0</v>
      </c>
      <c r="N13" s="11"/>
    </row>
    <row r="14" spans="1:18" ht="30" customHeight="1">
      <c r="B14" s="17" t="s">
        <v>47</v>
      </c>
      <c r="C14" s="6" t="s">
        <v>48</v>
      </c>
      <c r="D14" s="11" t="s">
        <v>35</v>
      </c>
      <c r="E14" s="3">
        <v>100</v>
      </c>
      <c r="F14" s="4">
        <v>2000</v>
      </c>
      <c r="G14" s="3">
        <f t="shared" si="0"/>
        <v>200000</v>
      </c>
      <c r="H14" s="4">
        <v>1500</v>
      </c>
      <c r="I14" s="3">
        <f t="shared" si="1"/>
        <v>150000</v>
      </c>
      <c r="J14" s="4"/>
      <c r="K14" s="4"/>
      <c r="L14" s="5">
        <f t="shared" si="2"/>
        <v>3500</v>
      </c>
      <c r="M14" s="3">
        <f t="shared" ref="M14" si="4">SUM(K14+I14+G14)</f>
        <v>350000</v>
      </c>
      <c r="N14" s="11"/>
    </row>
    <row r="15" spans="1:18" ht="30" customHeight="1">
      <c r="B15" s="17" t="s">
        <v>49</v>
      </c>
      <c r="C15" s="6"/>
      <c r="D15" s="11" t="s">
        <v>50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>SUM(K15+I15+G15)</f>
        <v>120000</v>
      </c>
      <c r="N15" s="11"/>
    </row>
    <row r="16" spans="1:18" ht="30" customHeight="1">
      <c r="B16" s="17" t="s">
        <v>51</v>
      </c>
      <c r="C16" s="6"/>
      <c r="D16" s="11" t="s">
        <v>52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>SUM(K16+I16+G16)</f>
        <v>0</v>
      </c>
      <c r="N16" s="11"/>
    </row>
    <row r="17" spans="2:14" ht="30" customHeight="1">
      <c r="B17" s="17" t="s">
        <v>53</v>
      </c>
      <c r="C17" s="6"/>
      <c r="D17" s="11" t="s">
        <v>52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>SUM(K17+I17+G17)</f>
        <v>0</v>
      </c>
      <c r="N17" s="11"/>
    </row>
    <row r="18" spans="2:14" ht="30" customHeight="1">
      <c r="B18" s="19" t="s">
        <v>54</v>
      </c>
      <c r="C18" s="7"/>
      <c r="D18" s="8"/>
      <c r="E18" s="2"/>
      <c r="F18" s="2"/>
      <c r="G18" s="9">
        <f>SUM(G7:G17)</f>
        <v>1610000</v>
      </c>
      <c r="H18" s="20"/>
      <c r="I18" s="9">
        <f>SUM(I7:I17)</f>
        <v>1250000</v>
      </c>
      <c r="J18" s="2"/>
      <c r="K18" s="9">
        <f>SUM(K7:K17)</f>
        <v>160000</v>
      </c>
      <c r="L18" s="2"/>
      <c r="M18" s="2">
        <f>SUM(M7:M17)</f>
        <v>3020000</v>
      </c>
      <c r="N18" s="10"/>
    </row>
    <row r="19" spans="2:14" ht="34.5">
      <c r="B19" s="21" t="s">
        <v>55</v>
      </c>
      <c r="C19" s="6"/>
      <c r="D19" s="11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90600</v>
      </c>
      <c r="N19" s="11"/>
    </row>
    <row r="20" spans="2:14" ht="30" customHeight="1">
      <c r="B20" s="14" t="s">
        <v>56</v>
      </c>
      <c r="C20" s="6"/>
      <c r="D20" s="11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181200</v>
      </c>
      <c r="N20" s="11"/>
    </row>
    <row r="21" spans="2:14" ht="30" customHeight="1">
      <c r="B21" s="22" t="s">
        <v>57</v>
      </c>
      <c r="C21" s="23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3291800</v>
      </c>
      <c r="N21" s="10"/>
    </row>
    <row r="22" spans="2:14" ht="30" customHeight="1">
      <c r="B22" s="24" t="s">
        <v>58</v>
      </c>
      <c r="C22" s="25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3200000</v>
      </c>
      <c r="N22" s="26" t="s">
        <v>59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김혜진</cp:lastModifiedBy>
  <cp:revision/>
  <cp:lastPrinted>2025-10-29T07:28:35Z</cp:lastPrinted>
  <dcterms:created xsi:type="dcterms:W3CDTF">2025-04-06T12:41:57Z</dcterms:created>
  <dcterms:modified xsi:type="dcterms:W3CDTF">2026-03-16T06:12:14Z</dcterms:modified>
  <cp:category/>
  <cp:contentStatus/>
</cp:coreProperties>
</file>