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E9D45208-B5D3-4D50-ABA0-1E96319897E9}" xr6:coauthVersionLast="47" xr6:coauthVersionMax="47" xr10:uidLastSave="{00000000-0000-0000-0000-000000000000}"/>
  <bookViews>
    <workbookView xWindow="1560" yWindow="1560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K12" i="3"/>
  <c r="L16" i="3"/>
  <c r="L15" i="3"/>
  <c r="L14" i="3"/>
  <c r="L8" i="3"/>
  <c r="M16" i="3" l="1"/>
  <c r="M15" i="3"/>
  <c r="M14" i="3"/>
  <c r="M8" i="3"/>
  <c r="M12" i="3" l="1"/>
  <c r="L12" i="3"/>
  <c r="L13" i="3"/>
  <c r="I13" i="3"/>
  <c r="G13" i="3"/>
  <c r="G9" i="3"/>
  <c r="I9" i="3"/>
  <c r="M9" i="3" s="1"/>
  <c r="L9" i="3"/>
  <c r="L7" i="3"/>
  <c r="I7" i="3"/>
  <c r="G7" i="3"/>
  <c r="M13" i="3" l="1"/>
  <c r="M7" i="3"/>
  <c r="L11" i="3"/>
  <c r="K11" i="3"/>
  <c r="I11" i="3"/>
  <c r="G11" i="3"/>
  <c r="L10" i="3"/>
  <c r="K10" i="3"/>
  <c r="I10" i="3"/>
  <c r="G10" i="3"/>
  <c r="M11" i="3" l="1"/>
  <c r="M10" i="3"/>
  <c r="G18" i="3"/>
  <c r="I18" i="3"/>
  <c r="K18" i="3"/>
  <c r="M18" i="3" l="1"/>
  <c r="M19" i="3" s="1"/>
  <c r="M21" i="3" s="1"/>
  <c r="M20" i="3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<sst xmlns="http://schemas.openxmlformats.org/spreadsheetml/2006/main" count="90" uniqueCount="71">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</sst>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51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6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277DD88D-CE6B-480B-8DA8-E9E57CFDC50E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D6871BE4-C506-4D5B-AF94-9D6AA3DFDF46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25705188-9C00-4CA7-951F-FFF3CE2B7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B1C4F698-A62A-4DE2-A89D-72F8AD0B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9E6A-7F32-4886-A1B1-8E958DEBADAF}">
  <sheetPr>
    <pageSetUpPr fitToPage="1"/>
  </sheetPr>
  <dimension ref="A1:AO59"/>
  <sheetViews>
    <sheetView topLeftCell="A13" zoomScale="85" zoomScaleNormal="85" zoomScalePageLayoutView="57" workbookViewId="0">
      <selection activeCell="D19" sqref="D19:R22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76">
        <v>26030901</v>
      </c>
      <c r="E6" s="76"/>
      <c r="F6" s="76"/>
      <c r="G6" s="42"/>
      <c r="H6" s="43" t="s">
        <v>3</v>
      </c>
      <c r="I6" s="44"/>
      <c r="J6" s="77" t="s">
        <v>4</v>
      </c>
      <c r="K6" s="77"/>
      <c r="L6" s="43" t="s">
        <v>5</v>
      </c>
      <c r="M6" s="44"/>
      <c r="N6" s="45" t="s">
        <v>6</v>
      </c>
      <c r="O6" s="43" t="s">
        <v>7</v>
      </c>
      <c r="P6" s="44"/>
      <c r="Q6" s="77" t="s">
        <v>8</v>
      </c>
      <c r="R6" s="77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78">
        <v>46090</v>
      </c>
      <c r="E7" s="78"/>
      <c r="F7" s="79"/>
      <c r="G7" s="42"/>
      <c r="H7" s="48" t="s">
        <v>10</v>
      </c>
      <c r="I7" s="49"/>
      <c r="J7" s="80" t="s">
        <v>11</v>
      </c>
      <c r="K7" s="80"/>
      <c r="L7" s="48" t="s">
        <v>12</v>
      </c>
      <c r="M7" s="49"/>
      <c r="N7" s="81" t="s">
        <v>13</v>
      </c>
      <c r="O7" s="81"/>
      <c r="P7" s="81"/>
      <c r="Q7" s="81"/>
      <c r="R7" s="81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82" t="s">
        <v>15</v>
      </c>
      <c r="E8" s="83"/>
      <c r="F8" s="84"/>
      <c r="G8" s="42"/>
      <c r="H8" s="48" t="s">
        <v>16</v>
      </c>
      <c r="I8" s="49"/>
      <c r="J8" s="80" t="s">
        <v>17</v>
      </c>
      <c r="K8" s="85"/>
      <c r="L8" s="48" t="s">
        <v>18</v>
      </c>
      <c r="M8" s="49"/>
      <c r="N8" s="81" t="s">
        <v>19</v>
      </c>
      <c r="O8" s="81"/>
      <c r="P8" s="81"/>
      <c r="Q8" s="81"/>
      <c r="R8" s="81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86" t="s">
        <v>21</v>
      </c>
      <c r="E9" s="86"/>
      <c r="F9" s="86"/>
      <c r="G9" s="42"/>
      <c r="H9" s="51" t="s">
        <v>22</v>
      </c>
      <c r="I9" s="52"/>
      <c r="J9" s="87" t="s">
        <v>23</v>
      </c>
      <c r="K9" s="88"/>
      <c r="L9" s="88"/>
      <c r="M9" s="88"/>
      <c r="N9" s="88"/>
      <c r="O9" s="88"/>
      <c r="P9" s="88"/>
      <c r="Q9" s="88"/>
      <c r="R9" s="88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89" t="s">
        <v>24</v>
      </c>
      <c r="C11" s="89"/>
      <c r="D11" s="89"/>
      <c r="E11" s="90" t="str">
        <f>"일금 "&amp;NUMBERSTRING(K18,1)&amp;" 원정"&amp;TEXT(K18,"(₩#,###)")</f>
        <v>일금 삼백구십만 원정(₩3,900,000)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92" t="s">
        <v>25</v>
      </c>
      <c r="C13" s="93"/>
      <c r="D13" s="93"/>
      <c r="E13" s="94"/>
      <c r="F13" s="95" t="s">
        <v>26</v>
      </c>
      <c r="G13" s="94"/>
      <c r="H13" s="55" t="s">
        <v>27</v>
      </c>
      <c r="I13" s="96" t="s">
        <v>28</v>
      </c>
      <c r="J13" s="97"/>
      <c r="K13" s="98" t="s">
        <v>29</v>
      </c>
      <c r="L13" s="98"/>
      <c r="M13" s="98"/>
      <c r="N13" s="99"/>
      <c r="O13" s="98" t="s">
        <v>30</v>
      </c>
      <c r="P13" s="98"/>
      <c r="Q13" s="98"/>
      <c r="R13" s="98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11" t="str">
        <f>Sheet2!C3</f>
        <v>옥상 우레탄방수 3mm (제 2안)</v>
      </c>
      <c r="C14" s="112"/>
      <c r="D14" s="112"/>
      <c r="E14" s="113"/>
      <c r="F14" s="114" t="s">
        <v>31</v>
      </c>
      <c r="G14" s="107"/>
      <c r="H14" s="57">
        <v>1</v>
      </c>
      <c r="I14" s="115"/>
      <c r="J14" s="116"/>
      <c r="K14" s="117">
        <f>Sheet2!M21</f>
        <v>3945800</v>
      </c>
      <c r="L14" s="112"/>
      <c r="M14" s="112"/>
      <c r="N14" s="113"/>
      <c r="O14" s="118"/>
      <c r="P14" s="119"/>
      <c r="Q14" s="119"/>
      <c r="R14" s="120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00"/>
      <c r="C15" s="101"/>
      <c r="D15" s="101"/>
      <c r="E15" s="102"/>
      <c r="F15" s="103"/>
      <c r="G15" s="103"/>
      <c r="H15" s="58"/>
      <c r="I15" s="104"/>
      <c r="J15" s="103"/>
      <c r="K15" s="105"/>
      <c r="L15" s="106"/>
      <c r="M15" s="106"/>
      <c r="N15" s="107"/>
      <c r="O15" s="108"/>
      <c r="P15" s="109"/>
      <c r="Q15" s="109"/>
      <c r="R15" s="110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108"/>
      <c r="C16" s="109"/>
      <c r="D16" s="109"/>
      <c r="E16" s="110"/>
      <c r="F16" s="108"/>
      <c r="G16" s="110"/>
      <c r="H16" s="58"/>
      <c r="I16" s="108"/>
      <c r="J16" s="110"/>
      <c r="K16" s="105"/>
      <c r="L16" s="106"/>
      <c r="M16" s="106"/>
      <c r="N16" s="107"/>
      <c r="O16" s="108"/>
      <c r="P16" s="109"/>
      <c r="Q16" s="109"/>
      <c r="R16" s="11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108"/>
      <c r="C17" s="109"/>
      <c r="D17" s="109"/>
      <c r="E17" s="136"/>
      <c r="F17" s="103"/>
      <c r="G17" s="103"/>
      <c r="H17" s="58"/>
      <c r="I17" s="104"/>
      <c r="J17" s="103"/>
      <c r="K17" s="105"/>
      <c r="L17" s="106"/>
      <c r="M17" s="106"/>
      <c r="N17" s="107"/>
      <c r="O17" s="108"/>
      <c r="P17" s="109"/>
      <c r="Q17" s="109"/>
      <c r="R17" s="110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137" t="s">
        <v>32</v>
      </c>
      <c r="C18" s="138"/>
      <c r="D18" s="138"/>
      <c r="E18" s="139"/>
      <c r="F18" s="140"/>
      <c r="G18" s="141"/>
      <c r="H18" s="59"/>
      <c r="I18" s="137"/>
      <c r="J18" s="138"/>
      <c r="K18" s="142">
        <f>Sheet2!M22</f>
        <v>3900000</v>
      </c>
      <c r="L18" s="112"/>
      <c r="M18" s="112"/>
      <c r="N18" s="113"/>
      <c r="O18" s="137" t="s">
        <v>33</v>
      </c>
      <c r="P18" s="138"/>
      <c r="Q18" s="138"/>
      <c r="R18" s="138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121" t="s">
        <v>34</v>
      </c>
      <c r="C19" s="122"/>
      <c r="D19" s="127" t="s">
        <v>35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123"/>
      <c r="C20" s="124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123"/>
      <c r="C21" s="124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125"/>
      <c r="C22" s="126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5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B6" zoomScale="70" zoomScaleNormal="70" workbookViewId="0">
      <selection activeCell="W14" sqref="W14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47" t="s">
        <v>38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9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143" t="s">
        <v>40</v>
      </c>
      <c r="G5" s="144"/>
      <c r="H5" s="145" t="s">
        <v>41</v>
      </c>
      <c r="I5" s="146"/>
      <c r="J5" s="145" t="s">
        <v>42</v>
      </c>
      <c r="K5" s="146"/>
      <c r="L5" s="143" t="s">
        <v>43</v>
      </c>
      <c r="M5" s="144"/>
      <c r="N5" s="73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9" t="s">
        <v>29</v>
      </c>
      <c r="H6" s="70" t="s">
        <v>28</v>
      </c>
      <c r="I6" s="69" t="s">
        <v>29</v>
      </c>
      <c r="J6" s="69" t="s">
        <v>28</v>
      </c>
      <c r="K6" s="69" t="s">
        <v>29</v>
      </c>
      <c r="L6" s="71" t="s">
        <v>28</v>
      </c>
      <c r="M6" s="69" t="s">
        <v>29</v>
      </c>
      <c r="N6" s="72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700</v>
      </c>
      <c r="G7" s="3">
        <f>E7*F7</f>
        <v>70000</v>
      </c>
      <c r="H7" s="4">
        <v>1500</v>
      </c>
      <c r="I7" s="3">
        <f>H7*E7</f>
        <v>150000</v>
      </c>
      <c r="J7" s="4"/>
      <c r="K7" s="4"/>
      <c r="L7" s="5">
        <f>J7+H7+F7</f>
        <v>2200</v>
      </c>
      <c r="M7" s="3">
        <f>SUM(K7+I7+G7)</f>
        <v>220000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150" t="s">
        <v>70</v>
      </c>
      <c r="D9" s="12" t="s">
        <v>46</v>
      </c>
      <c r="E9" s="3">
        <v>100</v>
      </c>
      <c r="F9" s="4">
        <v>2200</v>
      </c>
      <c r="G9" s="3">
        <f t="shared" ref="G9:G11" si="1">E9*F9</f>
        <v>220000</v>
      </c>
      <c r="H9" s="4">
        <v>1800</v>
      </c>
      <c r="I9" s="3">
        <f t="shared" ref="I9:I11" si="2">H9*E9</f>
        <v>180000</v>
      </c>
      <c r="J9" s="4"/>
      <c r="K9" s="4"/>
      <c r="L9" s="5">
        <f t="shared" ref="L9:L12" si="3">J9+H9+F9</f>
        <v>4000</v>
      </c>
      <c r="M9" s="3">
        <f t="shared" ref="M9:M12" si="4">SUM(K9+I9+G9)</f>
        <v>400000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3500</v>
      </c>
      <c r="I10" s="3">
        <f t="shared" si="2"/>
        <v>350000</v>
      </c>
      <c r="J10" s="4">
        <v>300</v>
      </c>
      <c r="K10" s="3">
        <f>J10*E10</f>
        <v>30000</v>
      </c>
      <c r="L10" s="5">
        <f t="shared" si="3"/>
        <v>8800</v>
      </c>
      <c r="M10" s="3">
        <f t="shared" si="4"/>
        <v>880000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5500</v>
      </c>
      <c r="I11" s="3">
        <f t="shared" si="2"/>
        <v>550000</v>
      </c>
      <c r="J11" s="4">
        <v>500</v>
      </c>
      <c r="K11" s="3">
        <f>J11*E11</f>
        <v>50000</v>
      </c>
      <c r="L11" s="5">
        <f t="shared" si="3"/>
        <v>16000</v>
      </c>
      <c r="M11" s="3">
        <f t="shared" si="4"/>
        <v>1600000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6" si="8">SUM(K13+I13+G13)</f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8"/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2010000</v>
      </c>
      <c r="H18" s="19"/>
      <c r="I18" s="10">
        <f>SUM(I7:I17)</f>
        <v>1410000</v>
      </c>
      <c r="J18" s="2"/>
      <c r="K18" s="10">
        <f>SUM(K7:K17)</f>
        <v>200000</v>
      </c>
      <c r="L18" s="2"/>
      <c r="M18" s="2">
        <f>SUM(M7:M17)</f>
        <v>3620000</v>
      </c>
      <c r="N18" s="11"/>
    </row>
    <row r="19" spans="2:14" ht="32.450000000000003" customHeight="1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108600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217200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3945800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3900000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2026-03-16T06:05:44Z</dcterms:modified>
  <cp:category/>
  <cp:contentStatus/>
</cp:coreProperties>
</file>