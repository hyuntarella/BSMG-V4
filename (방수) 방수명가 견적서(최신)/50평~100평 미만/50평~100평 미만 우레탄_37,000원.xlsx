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31" documentId="8_{83512DCB-D35B-45A9-9D3C-A63BF76DFBF8}" xr6:coauthVersionLast="47" xr6:coauthVersionMax="47" xr10:uidLastSave="{6321A40F-7C78-4A2D-9BDC-D638D5974563}"/>
  <bookViews>
    <workbookView xWindow="-108" yWindow="-108" windowWidth="23256" windowHeight="12456" firstSheet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K12" i="3"/>
  <c r="L16" i="3"/>
  <c r="L15" i="3"/>
  <c r="L14" i="3"/>
  <c r="L8" i="3"/>
  <c r="M16" i="3"/>
  <c r="M15" i="3"/>
  <c r="M14" i="3"/>
  <c r="M8" i="3"/>
  <c r="M12" i="3"/>
  <c r="L12" i="3"/>
  <c r="L13" i="3"/>
  <c r="I13" i="3"/>
  <c r="G13" i="3"/>
  <c r="G9" i="3"/>
  <c r="I9" i="3"/>
  <c r="M9" i="3" s="1"/>
  <c r="L9" i="3"/>
  <c r="L7" i="3"/>
  <c r="I7" i="3"/>
  <c r="G7" i="3"/>
  <c r="M13" i="3" l="1"/>
  <c r="M7" i="3"/>
  <c r="L11" i="3"/>
  <c r="K11" i="3"/>
  <c r="I11" i="3"/>
  <c r="G11" i="3"/>
  <c r="L10" i="3"/>
  <c r="K10" i="3"/>
  <c r="I10" i="3"/>
  <c r="G10" i="3"/>
  <c r="M11" i="3" l="1"/>
  <c r="M18" i="3" s="1"/>
  <c r="M10" i="3"/>
  <c r="G18" i="3"/>
  <c r="I18" i="3"/>
  <c r="K18" i="3"/>
  <c r="M20" i="3" l="1"/>
  <c r="M19" i="3"/>
  <c r="M21" i="3" l="1"/>
  <c r="M22" i="3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<sst xmlns="http://schemas.openxmlformats.org/spreadsheetml/2006/main" count="90" uniqueCount="71">
  <si>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</si>
  <si>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</si>
  <si>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</si>
  <si>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</si>
  <si>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</si>
  <si>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</si>
  <si>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</si>
  <si>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</si>
  <si>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</si>
  <si>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</si>
  <si>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</si>
  <si>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</si>
  <si>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</si>
  <si>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</si>
  <si>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</si>
  <si>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6" type="noConversion"/>
  </si>
  <si>
    <t xml:space="preserve">  전화번호</t>
  </si>
  <si>
    <t>010.5379.3587</t>
    <phoneticPr fontId="6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</si>
  <si>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</si>
  <si>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</si>
  <si>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</si>
  <si>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</si>
  <si>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</si>
  <si>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6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</si>
  <si>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</si>
  <si>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</si>
  <si>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</si>
  <si>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</si>
  <si>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</si>
  <si>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</si>
  <si>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</si>
  <si>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</si>
  <si>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</si>
  <si>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6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</si>
  <si>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6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</si>
  <si>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</rPr>
      <t>부가가치세별도</t>
    </r>
  </si>
  <si>
    <t>Brand Collaborations</t>
    <phoneticPr fontId="6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</si>
  <si>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</si>
  <si>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6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</si>
  <si>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</si>
  <si>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</si>
  <si>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</si>
  <si>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</si>
  <si>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</si>
  <si>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</si>
  <si>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연삭</t>
    </r>
  </si>
  <si>
    <t>m²</t>
  </si>
  <si>
    <t>바탕조정제
부분미장</t>
    <phoneticPr fontId="6" type="noConversion"/>
  </si>
  <si>
    <t>식</t>
    <phoneticPr fontId="6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</si>
  <si>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</si>
  <si>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t>줄눈. 크랙 실란트 
보강포 부착</t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</si>
  <si>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</si>
  <si>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6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</si>
  <si>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</si>
  <si>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6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</si>
  <si>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6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</si>
  <si>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6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</si>
  <si>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</si>
  <si>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6" type="noConversion"/>
  </si>
  <si>
    <r>
      <rPr>
        <sz val="12"/>
        <color theme="1"/>
        <rFont val="맑은 고딕"/>
        <family val="3"/>
        <charset val="129"/>
      </rPr>
      <t>사다리차</t>
    </r>
    <phoneticPr fontId="6" type="noConversion"/>
  </si>
  <si>
    <r>
      <rPr>
        <sz val="12"/>
        <color theme="1"/>
        <rFont val="맑은 고딕"/>
        <family val="3"/>
        <charset val="129"/>
      </rPr>
      <t>일</t>
    </r>
    <phoneticPr fontId="6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</si>
  <si>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6" type="noConversion"/>
  </si>
  <si>
    <r>
      <rPr>
        <sz val="12"/>
        <color theme="1"/>
        <rFont val="맑은 고딕"/>
        <family val="3"/>
        <charset val="129"/>
      </rPr>
      <t>식</t>
    </r>
    <phoneticPr fontId="6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</si>
  <si>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6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</si>
  <si>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6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</si>
  <si>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6" type="noConversion"/>
  </si>
  <si>
    <t>%</t>
    <phoneticPr fontId="6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</si>
  <si>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6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</si>
  <si>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</si>
  <si>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6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</si>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</sst>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Arial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</font>
    <font>
      <sz val="12"/>
      <color rgb="FF000000"/>
      <name val="Arial"/>
    </font>
    <font>
      <sz val="12"/>
      <color rgb="FF000000"/>
      <name val="맑은 고딕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5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525979"/>
      </right>
      <top style="thin">
        <color rgb="FF525979"/>
      </top>
      <bottom style="thin">
        <color theme="1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rgb="FF525979"/>
      </bottom>
      <diagonal/>
    </border>
    <border>
      <left style="thin">
        <color rgb="FF525979"/>
      </left>
      <right style="thin">
        <color theme="1" tint="0.499984740745262"/>
      </right>
      <top style="thin">
        <color rgb="FF525979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rgb="FF525979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23" fillId="0" borderId="0"/>
  </cellStyleXfs>
  <cellXfs count="154">
    <xf numFmtId="0" fontId="0" fillId="0" borderId="0" xfId="0"/>
    <xf numFmtId="0" fontId="1" fillId="0" borderId="0" xfId="0" applyFont="1"/>
    <xf numFmtId="3" fontId="7" fillId="5" borderId="15" xfId="0" applyNumberFormat="1" applyFont="1" applyFill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3" fontId="7" fillId="2" borderId="15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177" fontId="7" fillId="7" borderId="15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177" fontId="7" fillId="6" borderId="15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/>
    </xf>
    <xf numFmtId="3" fontId="7" fillId="4" borderId="15" xfId="0" applyNumberFormat="1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/>
    </xf>
    <xf numFmtId="3" fontId="14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4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6" fillId="8" borderId="34" xfId="1" applyFont="1" applyFill="1" applyBorder="1" applyAlignment="1">
      <alignment vertical="center"/>
    </xf>
    <xf numFmtId="0" fontId="16" fillId="2" borderId="1" xfId="1" applyFont="1" applyFill="1" applyBorder="1" applyAlignment="1">
      <alignment horizontal="left" vertical="center"/>
    </xf>
    <xf numFmtId="0" fontId="14" fillId="0" borderId="0" xfId="1" applyFont="1"/>
    <xf numFmtId="0" fontId="14" fillId="3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7" fillId="0" borderId="4" xfId="1" applyFont="1" applyBorder="1" applyAlignment="1">
      <alignment vertical="center"/>
    </xf>
    <xf numFmtId="0" fontId="8" fillId="8" borderId="35" xfId="1" applyFont="1" applyFill="1" applyBorder="1" applyAlignment="1">
      <alignment vertical="center"/>
    </xf>
    <xf numFmtId="0" fontId="8" fillId="2" borderId="3" xfId="1" applyFont="1" applyFill="1" applyBorder="1" applyAlignment="1">
      <alignment vertical="center"/>
    </xf>
    <xf numFmtId="0" fontId="14" fillId="3" borderId="2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/>
    </xf>
    <xf numFmtId="0" fontId="8" fillId="8" borderId="40" xfId="1" applyFont="1" applyFill="1" applyBorder="1" applyAlignment="1">
      <alignment vertical="center"/>
    </xf>
    <xf numFmtId="0" fontId="14" fillId="3" borderId="3" xfId="1" applyFont="1" applyFill="1" applyBorder="1" applyAlignment="1">
      <alignment vertical="center"/>
    </xf>
    <xf numFmtId="0" fontId="14" fillId="2" borderId="3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7" fillId="0" borderId="6" xfId="1" applyFont="1" applyBorder="1"/>
    <xf numFmtId="0" fontId="8" fillId="8" borderId="45" xfId="1" applyFont="1" applyFill="1" applyBorder="1" applyAlignment="1">
      <alignment horizontal="center" vertical="center"/>
    </xf>
    <xf numFmtId="0" fontId="1" fillId="0" borderId="10" xfId="1" applyFont="1" applyBorder="1"/>
    <xf numFmtId="0" fontId="7" fillId="0" borderId="18" xfId="1" applyFont="1" applyBorder="1" applyAlignment="1">
      <alignment horizontal="center" vertical="center"/>
    </xf>
    <xf numFmtId="0" fontId="7" fillId="0" borderId="11" xfId="1" applyFont="1" applyBorder="1"/>
    <xf numFmtId="0" fontId="7" fillId="4" borderId="8" xfId="1" applyFont="1" applyFill="1" applyBorder="1" applyAlignment="1">
      <alignment vertical="center"/>
    </xf>
    <xf numFmtId="0" fontId="5" fillId="0" borderId="2" xfId="1" applyFont="1" applyBorder="1"/>
    <xf numFmtId="0" fontId="5" fillId="0" borderId="0" xfId="1" applyFont="1"/>
    <xf numFmtId="0" fontId="5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 vertical="center"/>
    </xf>
    <xf numFmtId="0" fontId="8" fillId="8" borderId="54" xfId="0" applyFont="1" applyFill="1" applyBorder="1" applyAlignment="1">
      <alignment horizontal="center" vertical="center"/>
    </xf>
    <xf numFmtId="0" fontId="8" fillId="8" borderId="55" xfId="0" applyFont="1" applyFill="1" applyBorder="1" applyAlignment="1">
      <alignment horizontal="center" vertical="center"/>
    </xf>
    <xf numFmtId="0" fontId="8" fillId="8" borderId="56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8" borderId="58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49" xfId="1" applyFont="1" applyFill="1" applyBorder="1" applyAlignment="1">
      <alignment horizontal="center" vertical="center"/>
    </xf>
    <xf numFmtId="0" fontId="7" fillId="4" borderId="50" xfId="1" applyFont="1" applyFill="1" applyBorder="1" applyAlignment="1">
      <alignment horizontal="center" vertical="center"/>
    </xf>
    <xf numFmtId="0" fontId="7" fillId="4" borderId="51" xfId="1" applyFont="1" applyFill="1" applyBorder="1" applyAlignment="1">
      <alignment horizontal="center" vertical="center"/>
    </xf>
    <xf numFmtId="3" fontId="7" fillId="6" borderId="17" xfId="0" applyNumberFormat="1" applyFont="1" applyFill="1" applyBorder="1" applyAlignment="1">
      <alignment horizontal="center" vertical="center"/>
    </xf>
    <xf numFmtId="0" fontId="14" fillId="0" borderId="11" xfId="1" applyFont="1" applyBorder="1" applyAlignment="1">
      <alignment vertical="top" wrapText="1"/>
    </xf>
    <xf numFmtId="0" fontId="14" fillId="0" borderId="2" xfId="1" applyFont="1" applyBorder="1" applyAlignment="1">
      <alignment vertical="top"/>
    </xf>
    <xf numFmtId="0" fontId="14" fillId="0" borderId="10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12" xfId="1" applyFont="1" applyBorder="1" applyAlignment="1">
      <alignment vertical="top"/>
    </xf>
    <xf numFmtId="0" fontId="14" fillId="0" borderId="13" xfId="1" applyFont="1" applyBorder="1" applyAlignment="1">
      <alignment vertical="top"/>
    </xf>
    <xf numFmtId="0" fontId="7" fillId="0" borderId="26" xfId="1" applyFont="1" applyBorder="1" applyAlignment="1">
      <alignment vertical="center" wrapText="1"/>
    </xf>
    <xf numFmtId="0" fontId="7" fillId="0" borderId="8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/>
    </xf>
    <xf numFmtId="0" fontId="7" fillId="0" borderId="0" xfId="1" applyFont="1" applyAlignment="1">
      <alignment horizontal="center"/>
    </xf>
    <xf numFmtId="3" fontId="7" fillId="0" borderId="17" xfId="0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7" fillId="0" borderId="36" xfId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8" fillId="8" borderId="4" xfId="1" applyFont="1" applyFill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8" fillId="8" borderId="41" xfId="1" applyFont="1" applyFill="1" applyBorder="1" applyAlignment="1">
      <alignment horizontal="center" vertical="center"/>
    </xf>
    <xf numFmtId="0" fontId="8" fillId="8" borderId="42" xfId="1" applyFont="1" applyFill="1" applyBorder="1" applyAlignment="1">
      <alignment horizontal="center" vertical="center"/>
    </xf>
    <xf numFmtId="0" fontId="8" fillId="8" borderId="43" xfId="1" applyFont="1" applyFill="1" applyBorder="1" applyAlignment="1">
      <alignment horizontal="center" vertical="center"/>
    </xf>
    <xf numFmtId="0" fontId="8" fillId="8" borderId="44" xfId="1" applyFont="1" applyFill="1" applyBorder="1" applyAlignment="1">
      <alignment horizontal="center" vertical="center"/>
    </xf>
    <xf numFmtId="0" fontId="8" fillId="8" borderId="46" xfId="1" applyFont="1" applyFill="1" applyBorder="1" applyAlignment="1">
      <alignment horizontal="center" vertical="center"/>
    </xf>
    <xf numFmtId="0" fontId="8" fillId="8" borderId="47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7" fillId="0" borderId="38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3" xfId="1" applyFont="1" applyBorder="1" applyAlignment="1">
      <alignment horizontal="left" vertical="center"/>
    </xf>
    <xf numFmtId="0" fontId="7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6" xfId="1" applyFont="1" applyBorder="1" applyAlignment="1">
      <alignment vertical="center"/>
    </xf>
    <xf numFmtId="0" fontId="4" fillId="0" borderId="0" xfId="1" applyFont="1" applyAlignment="1">
      <alignment horizontal="center" wrapText="1"/>
    </xf>
    <xf numFmtId="0" fontId="7" fillId="0" borderId="1" xfId="1" applyFont="1" applyBorder="1" applyAlignment="1">
      <alignment horizontal="left" vertical="center"/>
    </xf>
    <xf numFmtId="0" fontId="7" fillId="0" borderId="20" xfId="1" applyFont="1" applyBorder="1" applyAlignment="1">
      <alignment vertical="center"/>
    </xf>
    <xf numFmtId="178" fontId="7" fillId="0" borderId="36" xfId="1" applyNumberFormat="1" applyFont="1" applyBorder="1" applyAlignment="1">
      <alignment horizontal="left" vertical="center"/>
    </xf>
    <xf numFmtId="178" fontId="7" fillId="0" borderId="37" xfId="1" applyNumberFormat="1" applyFont="1" applyBorder="1" applyAlignment="1">
      <alignment horizontal="left" vertical="center"/>
    </xf>
    <xf numFmtId="0" fontId="8" fillId="8" borderId="60" xfId="0" applyFont="1" applyFill="1" applyBorder="1" applyAlignment="1">
      <alignment horizontal="center" vertical="center"/>
    </xf>
    <xf numFmtId="0" fontId="8" fillId="8" borderId="6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63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57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17" fillId="0" borderId="38" xfId="1" applyFont="1" applyBorder="1" applyAlignment="1"/>
    <xf numFmtId="0" fontId="17" fillId="0" borderId="39" xfId="1" applyFont="1" applyBorder="1" applyAlignment="1"/>
    <xf numFmtId="0" fontId="17" fillId="0" borderId="3" xfId="1" applyFont="1" applyBorder="1" applyAlignment="1"/>
    <xf numFmtId="0" fontId="7" fillId="0" borderId="7" xfId="1" applyFont="1" applyBorder="1" applyAlignment="1"/>
    <xf numFmtId="0" fontId="17" fillId="0" borderId="24" xfId="0" applyFont="1" applyBorder="1" applyAlignment="1"/>
    <xf numFmtId="0" fontId="17" fillId="0" borderId="25" xfId="0" applyFont="1" applyBorder="1" applyAlignment="1"/>
    <xf numFmtId="0" fontId="17" fillId="0" borderId="25" xfId="1" applyFont="1" applyBorder="1" applyAlignment="1"/>
    <xf numFmtId="0" fontId="17" fillId="0" borderId="24" xfId="1" applyFont="1" applyBorder="1" applyAlignment="1"/>
    <xf numFmtId="0" fontId="17" fillId="0" borderId="27" xfId="1" applyFont="1" applyBorder="1" applyAlignment="1"/>
    <xf numFmtId="0" fontId="17" fillId="0" borderId="28" xfId="1" applyFont="1" applyBorder="1" applyAlignment="1"/>
    <xf numFmtId="0" fontId="17" fillId="0" borderId="21" xfId="1" applyFont="1" applyBorder="1" applyAlignment="1"/>
    <xf numFmtId="0" fontId="7" fillId="0" borderId="0" xfId="1" applyFont="1" applyAlignment="1"/>
    <xf numFmtId="0" fontId="17" fillId="0" borderId="29" xfId="1" applyFont="1" applyBorder="1" applyAlignment="1"/>
    <xf numFmtId="0" fontId="17" fillId="0" borderId="30" xfId="1" applyFont="1" applyBorder="1" applyAlignment="1"/>
    <xf numFmtId="0" fontId="17" fillId="0" borderId="31" xfId="1" applyFont="1" applyBorder="1" applyAlignment="1"/>
    <xf numFmtId="0" fontId="17" fillId="0" borderId="15" xfId="1" applyFont="1" applyBorder="1" applyAlignment="1"/>
  </cellXfs>
  <cellStyles count="2">
    <cellStyle name="표준" xfId="0" builtinId="0"/>
    <cellStyle name="표준 2" xfId="1" xr:uid="{9A2319C8-EAB8-4EC0-B1E5-846CC4628E61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3B70AAA8-F9E2-418D-9ED5-EF1FC9F151D4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31C560B9-D9D1-4EA1-B144-87DD0FFB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885F3F7-9C05-4DF8-967E-82F09B03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5DAB-6950-4E27-B724-A6D4831F6622}">
  <sheetPr>
    <pageSetUpPr fitToPage="1"/>
  </sheetPr>
  <dimension ref="A1:AO59"/>
  <sheetViews>
    <sheetView tabSelected="1" topLeftCell="A16" zoomScale="85" zoomScaleNormal="85" zoomScalePageLayoutView="57" workbookViewId="0">
      <selection activeCell="G18" sqref="F18:G18"/>
    </sheetView>
  </sheetViews>
  <sheetFormatPr defaultColWidth="9.125" defaultRowHeight="17.4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124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125">
        <v>26030901</v>
      </c>
      <c r="E6" s="125"/>
      <c r="F6" s="125"/>
      <c r="G6" s="42"/>
      <c r="H6" s="43" t="s">
        <v>3</v>
      </c>
      <c r="I6" s="44"/>
      <c r="J6" s="126" t="s">
        <v>4</v>
      </c>
      <c r="K6" s="126"/>
      <c r="L6" s="43" t="s">
        <v>5</v>
      </c>
      <c r="M6" s="44"/>
      <c r="N6" s="45" t="s">
        <v>6</v>
      </c>
      <c r="O6" s="43" t="s">
        <v>7</v>
      </c>
      <c r="P6" s="44"/>
      <c r="Q6" s="126" t="s">
        <v>8</v>
      </c>
      <c r="R6" s="126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127">
        <v>46090</v>
      </c>
      <c r="E7" s="127"/>
      <c r="F7" s="128"/>
      <c r="G7" s="42"/>
      <c r="H7" s="48" t="s">
        <v>10</v>
      </c>
      <c r="I7" s="49"/>
      <c r="J7" s="118" t="s">
        <v>11</v>
      </c>
      <c r="K7" s="118"/>
      <c r="L7" s="48" t="s">
        <v>12</v>
      </c>
      <c r="M7" s="49"/>
      <c r="N7" s="119" t="s">
        <v>13</v>
      </c>
      <c r="O7" s="119"/>
      <c r="P7" s="119"/>
      <c r="Q7" s="119"/>
      <c r="R7" s="119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117" t="s">
        <v>15</v>
      </c>
      <c r="E8" s="138"/>
      <c r="F8" s="139"/>
      <c r="G8" s="42"/>
      <c r="H8" s="48" t="s">
        <v>16</v>
      </c>
      <c r="I8" s="49"/>
      <c r="J8" s="118" t="s">
        <v>17</v>
      </c>
      <c r="K8" s="140"/>
      <c r="L8" s="48" t="s">
        <v>18</v>
      </c>
      <c r="M8" s="49"/>
      <c r="N8" s="119" t="s">
        <v>19</v>
      </c>
      <c r="O8" s="119"/>
      <c r="P8" s="119"/>
      <c r="Q8" s="119"/>
      <c r="R8" s="119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120" t="s">
        <v>21</v>
      </c>
      <c r="E9" s="120"/>
      <c r="F9" s="120"/>
      <c r="G9" s="42"/>
      <c r="H9" s="51" t="s">
        <v>22</v>
      </c>
      <c r="I9" s="52"/>
      <c r="J9" s="121" t="s">
        <v>23</v>
      </c>
      <c r="K9" s="122"/>
      <c r="L9" s="122"/>
      <c r="M9" s="122"/>
      <c r="N9" s="122"/>
      <c r="O9" s="122"/>
      <c r="P9" s="122"/>
      <c r="Q9" s="122"/>
      <c r="R9" s="122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8" thickBot="1">
      <c r="A10" s="34"/>
      <c r="B10" s="53"/>
      <c r="C10" s="53"/>
      <c r="D10" s="5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107" t="s">
        <v>24</v>
      </c>
      <c r="C11" s="107"/>
      <c r="D11" s="107"/>
      <c r="E11" s="108" t="str">
        <f>"일금 "&amp;NUMBERSTRING(K18,1)&amp;" 원정"&amp;TEXT(K18,"(₩#,###)")</f>
        <v>일금 사백일십만 원정(₩4,100,000)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8" thickBot="1">
      <c r="A12" s="30"/>
      <c r="B12" s="54"/>
      <c r="C12" s="54"/>
      <c r="D12" s="54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109" t="s">
        <v>25</v>
      </c>
      <c r="C13" s="110"/>
      <c r="D13" s="110"/>
      <c r="E13" s="111"/>
      <c r="F13" s="112" t="s">
        <v>26</v>
      </c>
      <c r="G13" s="111"/>
      <c r="H13" s="55" t="s">
        <v>27</v>
      </c>
      <c r="I13" s="113" t="s">
        <v>28</v>
      </c>
      <c r="J13" s="114"/>
      <c r="K13" s="115" t="s">
        <v>29</v>
      </c>
      <c r="L13" s="115"/>
      <c r="M13" s="115"/>
      <c r="N13" s="116"/>
      <c r="O13" s="115" t="s">
        <v>30</v>
      </c>
      <c r="P13" s="115"/>
      <c r="Q13" s="115"/>
      <c r="R13" s="115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96" t="str">
        <f>Sheet2!C3</f>
        <v>옥상 우레탄방수 3mm (제 2안)</v>
      </c>
      <c r="C14" s="142"/>
      <c r="D14" s="142"/>
      <c r="E14" s="143"/>
      <c r="F14" s="97" t="s">
        <v>31</v>
      </c>
      <c r="G14" s="144"/>
      <c r="H14" s="57">
        <v>1</v>
      </c>
      <c r="I14" s="98"/>
      <c r="J14" s="99"/>
      <c r="K14" s="100">
        <f>Sheet2!M21</f>
        <v>4163800</v>
      </c>
      <c r="L14" s="142"/>
      <c r="M14" s="142"/>
      <c r="N14" s="143"/>
      <c r="O14" s="101"/>
      <c r="P14" s="102"/>
      <c r="Q14" s="102"/>
      <c r="R14" s="103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4"/>
      <c r="C15" s="105"/>
      <c r="D15" s="105"/>
      <c r="E15" s="106"/>
      <c r="F15" s="94"/>
      <c r="G15" s="94"/>
      <c r="H15" s="58"/>
      <c r="I15" s="95"/>
      <c r="J15" s="94"/>
      <c r="K15" s="92"/>
      <c r="L15" s="145"/>
      <c r="M15" s="145"/>
      <c r="N15" s="144"/>
      <c r="O15" s="89"/>
      <c r="P15" s="90"/>
      <c r="Q15" s="90"/>
      <c r="R15" s="91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89"/>
      <c r="C16" s="90"/>
      <c r="D16" s="90"/>
      <c r="E16" s="91"/>
      <c r="F16" s="89"/>
      <c r="G16" s="91"/>
      <c r="H16" s="58"/>
      <c r="I16" s="89"/>
      <c r="J16" s="91"/>
      <c r="K16" s="92"/>
      <c r="L16" s="145"/>
      <c r="M16" s="145"/>
      <c r="N16" s="144"/>
      <c r="O16" s="89"/>
      <c r="P16" s="90"/>
      <c r="Q16" s="90"/>
      <c r="R16" s="91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89"/>
      <c r="C17" s="90"/>
      <c r="D17" s="90"/>
      <c r="E17" s="93"/>
      <c r="F17" s="94"/>
      <c r="G17" s="94"/>
      <c r="H17" s="58"/>
      <c r="I17" s="95"/>
      <c r="J17" s="94"/>
      <c r="K17" s="92"/>
      <c r="L17" s="145"/>
      <c r="M17" s="145"/>
      <c r="N17" s="144"/>
      <c r="O17" s="89"/>
      <c r="P17" s="90"/>
      <c r="Q17" s="90"/>
      <c r="R17" s="91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76" t="s">
        <v>32</v>
      </c>
      <c r="C18" s="77"/>
      <c r="D18" s="77"/>
      <c r="E18" s="78"/>
      <c r="F18" s="79"/>
      <c r="G18" s="80"/>
      <c r="H18" s="59"/>
      <c r="I18" s="76"/>
      <c r="J18" s="77"/>
      <c r="K18" s="81">
        <f>Sheet2!M22</f>
        <v>4100000</v>
      </c>
      <c r="L18" s="142"/>
      <c r="M18" s="142"/>
      <c r="N18" s="143"/>
      <c r="O18" s="76" t="s">
        <v>33</v>
      </c>
      <c r="P18" s="77"/>
      <c r="Q18" s="77"/>
      <c r="R18" s="77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82" t="s">
        <v>34</v>
      </c>
      <c r="C19" s="83"/>
      <c r="D19" s="88" t="s">
        <v>35</v>
      </c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7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84"/>
      <c r="C20" s="85"/>
      <c r="D20" s="148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5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84"/>
      <c r="C21" s="85"/>
      <c r="D21" s="148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86"/>
      <c r="C22" s="87"/>
      <c r="D22" s="151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3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6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zoomScale="70" zoomScaleNormal="70" workbookViewId="0">
      <selection activeCell="B5" sqref="B5"/>
    </sheetView>
  </sheetViews>
  <sheetFormatPr defaultRowHeight="17.4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35" t="s">
        <v>38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6" t="s">
        <v>25</v>
      </c>
      <c r="C5" s="68" t="s">
        <v>26</v>
      </c>
      <c r="D5" s="68" t="s">
        <v>39</v>
      </c>
      <c r="E5" s="68" t="s">
        <v>27</v>
      </c>
      <c r="F5" s="129" t="s">
        <v>40</v>
      </c>
      <c r="G5" s="130"/>
      <c r="H5" s="131" t="s">
        <v>41</v>
      </c>
      <c r="I5" s="132"/>
      <c r="J5" s="129" t="s">
        <v>42</v>
      </c>
      <c r="K5" s="130"/>
      <c r="L5" s="133" t="s">
        <v>43</v>
      </c>
      <c r="M5" s="134"/>
      <c r="N5" s="74" t="s">
        <v>30</v>
      </c>
      <c r="O5" s="1"/>
      <c r="P5" s="1"/>
      <c r="Q5" s="1"/>
      <c r="R5" s="1"/>
    </row>
    <row r="6" spans="1:18" ht="31.35" customHeight="1">
      <c r="A6" s="1"/>
      <c r="B6" s="67"/>
      <c r="C6" s="69"/>
      <c r="D6" s="69"/>
      <c r="E6" s="69"/>
      <c r="F6" s="73" t="s">
        <v>28</v>
      </c>
      <c r="G6" s="70" t="s">
        <v>29</v>
      </c>
      <c r="H6" s="73" t="s">
        <v>28</v>
      </c>
      <c r="I6" s="75" t="s">
        <v>29</v>
      </c>
      <c r="J6" s="73" t="s">
        <v>28</v>
      </c>
      <c r="K6" s="70" t="s">
        <v>29</v>
      </c>
      <c r="L6" s="65" t="s">
        <v>28</v>
      </c>
      <c r="M6" s="72" t="s">
        <v>29</v>
      </c>
      <c r="N6" s="71"/>
      <c r="O6" s="1"/>
      <c r="P6" s="1"/>
      <c r="Q6" s="1"/>
      <c r="R6" s="1"/>
    </row>
    <row r="7" spans="1:18" ht="30" customHeight="1">
      <c r="A7" s="1"/>
      <c r="B7" s="8" t="s">
        <v>44</v>
      </c>
      <c r="C7" s="9" t="s">
        <v>45</v>
      </c>
      <c r="D7" s="10" t="s">
        <v>46</v>
      </c>
      <c r="E7" s="3">
        <v>100</v>
      </c>
      <c r="F7" s="4">
        <v>1100</v>
      </c>
      <c r="G7" s="3">
        <f>E7*F7</f>
        <v>110000</v>
      </c>
      <c r="H7" s="4">
        <v>1600</v>
      </c>
      <c r="I7" s="3">
        <f>H7*E7</f>
        <v>160000</v>
      </c>
      <c r="J7" s="4"/>
      <c r="K7" s="4"/>
      <c r="L7" s="5">
        <f>J7+H7+F7</f>
        <v>2700</v>
      </c>
      <c r="M7" s="3">
        <f>SUM(K7+I7+G7)</f>
        <v>270000</v>
      </c>
      <c r="N7" s="10"/>
    </row>
    <row r="8" spans="1:18" ht="38.450000000000003">
      <c r="A8" s="1"/>
      <c r="B8" s="28" t="s">
        <v>47</v>
      </c>
      <c r="C8" s="9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0"/>
    </row>
    <row r="9" spans="1:18" ht="30" customHeight="1">
      <c r="A9" s="1"/>
      <c r="B9" s="11" t="s">
        <v>49</v>
      </c>
      <c r="C9" s="6" t="s">
        <v>50</v>
      </c>
      <c r="D9" s="10" t="s">
        <v>46</v>
      </c>
      <c r="E9" s="3">
        <v>100</v>
      </c>
      <c r="F9" s="4">
        <v>3000</v>
      </c>
      <c r="G9" s="3">
        <f t="shared" ref="G9:G11" si="1">E9*F9</f>
        <v>300000</v>
      </c>
      <c r="H9" s="4">
        <v>2500</v>
      </c>
      <c r="I9" s="3">
        <f t="shared" ref="I9:I11" si="2">H9*E9</f>
        <v>250000</v>
      </c>
      <c r="J9" s="4"/>
      <c r="K9" s="4"/>
      <c r="L9" s="5">
        <f t="shared" ref="L9:L12" si="3">J9+H9+F9</f>
        <v>5500</v>
      </c>
      <c r="M9" s="3">
        <f t="shared" ref="M9:M12" si="4">SUM(K9+I9+G9)</f>
        <v>550000</v>
      </c>
      <c r="N9" s="10"/>
    </row>
    <row r="10" spans="1:18" ht="30" customHeight="1">
      <c r="A10" s="1"/>
      <c r="B10" s="11" t="s">
        <v>51</v>
      </c>
      <c r="C10" s="6" t="s">
        <v>52</v>
      </c>
      <c r="D10" s="10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0"/>
    </row>
    <row r="11" spans="1:18" ht="30" customHeight="1">
      <c r="A11" s="1"/>
      <c r="B11" s="12" t="s">
        <v>53</v>
      </c>
      <c r="C11" s="6" t="s">
        <v>54</v>
      </c>
      <c r="D11" s="10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0"/>
    </row>
    <row r="12" spans="1:18" ht="30" customHeight="1">
      <c r="A12" s="1"/>
      <c r="B12" s="12" t="s">
        <v>55</v>
      </c>
      <c r="C12" s="6" t="s">
        <v>56</v>
      </c>
      <c r="D12" s="10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0"/>
    </row>
    <row r="13" spans="1:18" ht="30" customHeight="1">
      <c r="B13" s="12" t="s">
        <v>57</v>
      </c>
      <c r="C13" s="6" t="s">
        <v>58</v>
      </c>
      <c r="D13" s="10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6" si="8">SUM(K13+I13+G13)</f>
        <v>400000</v>
      </c>
      <c r="N13" s="10"/>
    </row>
    <row r="14" spans="1:18" ht="30" customHeight="1">
      <c r="B14" s="12" t="s">
        <v>59</v>
      </c>
      <c r="C14" s="6"/>
      <c r="D14" s="10" t="s">
        <v>60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0"/>
    </row>
    <row r="15" spans="1:18" ht="30" customHeight="1">
      <c r="B15" s="12" t="s">
        <v>61</v>
      </c>
      <c r="C15" s="6"/>
      <c r="D15" s="10" t="s">
        <v>62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8"/>
        <v>0</v>
      </c>
      <c r="N15" s="10"/>
    </row>
    <row r="16" spans="1:18" ht="30" customHeight="1">
      <c r="B16" s="12" t="s">
        <v>63</v>
      </c>
      <c r="C16" s="6"/>
      <c r="D16" s="10" t="s">
        <v>62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0"/>
    </row>
    <row r="17" spans="2:14" ht="30" customHeight="1">
      <c r="B17" s="12"/>
      <c r="C17" s="6"/>
      <c r="D17" s="10"/>
      <c r="E17" s="3"/>
      <c r="F17" s="3"/>
      <c r="G17" s="3"/>
      <c r="H17" s="3"/>
      <c r="I17" s="3"/>
      <c r="J17" s="3"/>
      <c r="K17" s="3"/>
      <c r="L17" s="5"/>
      <c r="M17" s="3"/>
      <c r="N17" s="10"/>
    </row>
    <row r="18" spans="2:14" ht="30" customHeight="1">
      <c r="B18" s="14" t="s">
        <v>64</v>
      </c>
      <c r="C18" s="15"/>
      <c r="D18" s="16"/>
      <c r="E18" s="2"/>
      <c r="F18" s="2"/>
      <c r="G18" s="17">
        <f>SUM(G7:G17)</f>
        <v>2130000</v>
      </c>
      <c r="H18" s="13"/>
      <c r="I18" s="17">
        <f>SUM(I7:I17)</f>
        <v>1490000</v>
      </c>
      <c r="J18" s="2"/>
      <c r="K18" s="17">
        <f>SUM(K7:K17)</f>
        <v>200000</v>
      </c>
      <c r="L18" s="2"/>
      <c r="M18" s="2">
        <f>SUM(M7:M17)</f>
        <v>3820000</v>
      </c>
      <c r="N18" s="18"/>
    </row>
    <row r="19" spans="2:14" ht="38.450000000000003">
      <c r="B19" s="19" t="s">
        <v>65</v>
      </c>
      <c r="C19" s="6"/>
      <c r="D19" s="10" t="s">
        <v>66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114600</v>
      </c>
      <c r="N19" s="10"/>
    </row>
    <row r="20" spans="2:14" ht="30" customHeight="1">
      <c r="B20" s="20" t="s">
        <v>67</v>
      </c>
      <c r="C20" s="6"/>
      <c r="D20" s="10" t="s">
        <v>66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229200</v>
      </c>
      <c r="N20" s="10"/>
    </row>
    <row r="21" spans="2:14" ht="30" customHeight="1">
      <c r="B21" s="21" t="s">
        <v>68</v>
      </c>
      <c r="C21" s="22"/>
      <c r="D21" s="18"/>
      <c r="E21" s="18"/>
      <c r="F21" s="23"/>
      <c r="G21" s="17"/>
      <c r="H21" s="18"/>
      <c r="I21" s="17"/>
      <c r="J21" s="18"/>
      <c r="K21" s="17"/>
      <c r="L21" s="18"/>
      <c r="M21" s="17">
        <f>SUM(M18:M20)</f>
        <v>4163800</v>
      </c>
      <c r="N21" s="18"/>
    </row>
    <row r="22" spans="2:14" ht="30" customHeight="1">
      <c r="B22" s="24" t="s">
        <v>69</v>
      </c>
      <c r="C22" s="25"/>
      <c r="D22" s="18"/>
      <c r="E22" s="18"/>
      <c r="F22" s="23"/>
      <c r="G22" s="18"/>
      <c r="H22" s="18"/>
      <c r="I22" s="18"/>
      <c r="J22" s="18"/>
      <c r="K22" s="18"/>
      <c r="L22" s="18"/>
      <c r="M22" s="26">
        <f>FLOOR(M21, 100000)</f>
        <v>4100000</v>
      </c>
      <c r="N22" s="27" t="s">
        <v>70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6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45"/>
  <sheetData>
    <row r="1" spans="1:1">
      <c r="A1">
        <v>202504</v>
      </c>
    </row>
    <row r="2" spans="1:1">
      <c r="A2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gksdnwjd222@gmail.com</cp:lastModifiedBy>
  <cp:revision/>
  <dcterms:created xsi:type="dcterms:W3CDTF">2025-04-06T12:41:57Z</dcterms:created>
  <dcterms:modified xsi:type="dcterms:W3CDTF">2026-03-12T05:10:03Z</dcterms:modified>
  <cp:category/>
  <cp:contentStatus/>
</cp:coreProperties>
</file>