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6" documentId="8_{905A226B-2A99-4D6C-AD74-7EB89541D608}" xr6:coauthVersionLast="47" xr6:coauthVersionMax="47" xr10:uidLastSave="{5A78B7EF-52C0-4DB3-9A1A-3B63C2E9D4B2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E11" i="5"/>
  <c r="K18" i="5"/>
  <c r="K14" i="5"/>
  <c r="M17" i="3"/>
  <c r="L17" i="3"/>
  <c r="M16" i="3"/>
  <c r="L16" i="3"/>
  <c r="M8" i="3"/>
  <c r="L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<sst xmlns="http://schemas.openxmlformats.org/spreadsheetml/2006/main" count="90" uniqueCount="70">
  <si>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>품 명</t>
  </si>
  <si>
    <t>규 격</t>
  </si>
  <si>
    <t>수 량</t>
  </si>
  <si>
    <t>단 가</t>
  </si>
  <si>
    <t>금 액</t>
  </si>
  <si>
    <t>비 고</t>
  </si>
  <si>
    <t>단 위</t>
  </si>
  <si>
    <t>재 료 비</t>
  </si>
  <si>
    <t>인 건 비</t>
  </si>
  <si>
    <t>경 비</t>
  </si>
  <si>
    <t>%</t>
    <phoneticPr fontId="2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</si>
  <si>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</si>
  <si>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</si>
  <si>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</si>
  <si>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</si>
  <si>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</si>
  <si>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</si>
  <si>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</si>
  <si>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2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</si>
  <si>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2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</si>
  <si>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2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</si>
  <si>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</si>
  <si>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2" type="noConversion"/>
  </si>
  <si>
    <r>
      <rPr>
        <sz val="12"/>
        <color theme="1"/>
        <rFont val="맑은 고딕"/>
        <family val="3"/>
        <charset val="129"/>
      </rPr>
      <t>사다리차</t>
    </r>
    <phoneticPr fontId="2" type="noConversion"/>
  </si>
  <si>
    <r>
      <rPr>
        <sz val="12"/>
        <color theme="1"/>
        <rFont val="맑은 고딕"/>
        <family val="3"/>
        <charset val="129"/>
      </rPr>
      <t>일</t>
    </r>
    <phoneticPr fontId="2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</si>
  <si>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2" type="noConversion"/>
  </si>
  <si>
    <r>
      <rPr>
        <sz val="12"/>
        <color theme="1"/>
        <rFont val="맑은 고딕"/>
        <family val="3"/>
        <charset val="129"/>
      </rPr>
      <t>식</t>
    </r>
    <phoneticPr fontId="2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</si>
  <si>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2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</si>
  <si>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2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</si>
  <si>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2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</si>
  <si>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2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</si>
  <si>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</si>
  <si>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2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</si>
  <si>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</si>
  <si>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바탕정리</t>
    </r>
    <phoneticPr fontId="2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</si>
  <si>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2" type="noConversion"/>
  </si>
  <si>
    <r>
      <rPr>
        <sz val="12"/>
        <color theme="1"/>
        <rFont val="맑은 고딕"/>
        <family val="2"/>
        <charset val="129"/>
      </rPr>
      <t>식</t>
    </r>
    <phoneticPr fontId="2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</si>
  <si>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</si>
  <si>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2" type="noConversion"/>
  </si>
  <si>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</si>
  <si>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</si>
  <si>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</si>
  <si>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</si>
  <si>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</si>
  <si>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</si>
  <si>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</si>
  <si>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</si>
  <si>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</si>
  <si>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</si>
  <si>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</si>
  <si>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</si>
  <si>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</si>
  <si>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</si>
  <si>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</si>
  <si>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2" type="noConversion"/>
  </si>
  <si>
    <t xml:space="preserve">  전화번호</t>
  </si>
  <si>
    <t>010.5379.3587</t>
    <phoneticPr fontId="2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</si>
  <si>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</si>
  <si>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</si>
  <si>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</si>
  <si>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</si>
  <si>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</si>
  <si>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2" type="noConversion"/>
  </si>
  <si>
    <t>공사금액
(부가세 별도)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</si>
  <si>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</si>
  <si>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</si>
  <si>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2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</si>
  <si>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2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</si>
  <si>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2" type="noConversion"/>
  </si>
  <si>
    <t>Brand Collaborations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</si>
</sst>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;@"/>
    <numFmt numFmtId="177" formatCode="yyyy&quot;년&quot;\ m&quot;월&quot;\ d&quot;일&quot;;@"/>
    <numFmt numFmtId="178" formatCode="[DBNum4]&quot;일금&quot;[$-412]General&quot;원정&quot;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1"/>
      <color theme="1"/>
      <name val="맑은 고딕"/>
      <family val="2"/>
      <scheme val="minor"/>
    </font>
    <font>
      <b/>
      <sz val="26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Arial"/>
      <family val="3"/>
      <charset val="129"/>
    </font>
    <font>
      <sz val="12"/>
      <color theme="1"/>
      <name val="Arial"/>
      <family val="3"/>
    </font>
    <font>
      <b/>
      <sz val="16"/>
      <color theme="1"/>
      <name val="Arial"/>
      <family val="2"/>
    </font>
    <font>
      <b/>
      <sz val="12"/>
      <color theme="1"/>
      <name val="맑은 고딕"/>
      <family val="3"/>
      <charset val="129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b/>
      <sz val="11"/>
      <color rgb="FFB7B7B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BEBEB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ck">
        <color theme="1"/>
      </top>
      <bottom/>
      <diagonal/>
    </border>
    <border>
      <left/>
      <right/>
      <top style="thick">
        <color theme="1"/>
      </top>
      <bottom style="thin">
        <color rgb="FFCCCCCC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14" fillId="0" borderId="0"/>
  </cellStyleXfs>
  <cellXfs count="149">
    <xf numFmtId="0" fontId="0" fillId="0" borderId="0" xfId="0"/>
    <xf numFmtId="0" fontId="1" fillId="0" borderId="0" xfId="0" applyFont="1"/>
    <xf numFmtId="3" fontId="3" fillId="4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/>
    </xf>
    <xf numFmtId="3" fontId="7" fillId="3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1" fillId="0" borderId="0" xfId="1" applyFont="1"/>
    <xf numFmtId="0" fontId="15" fillId="0" borderId="0" xfId="1" applyFont="1" applyAlignment="1">
      <alignment horizontal="center" wrapText="1"/>
    </xf>
    <xf numFmtId="0" fontId="14" fillId="0" borderId="0" xfId="1"/>
    <xf numFmtId="0" fontId="15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16" fillId="0" borderId="0" xfId="1" applyFont="1"/>
    <xf numFmtId="0" fontId="16" fillId="2" borderId="0" xfId="1" applyFont="1" applyFill="1"/>
    <xf numFmtId="0" fontId="1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6" fillId="0" borderId="0" xfId="1" applyFont="1" applyAlignment="1">
      <alignment vertical="center"/>
    </xf>
    <xf numFmtId="0" fontId="17" fillId="6" borderId="22" xfId="1" applyFont="1" applyFill="1" applyBorder="1" applyAlignment="1">
      <alignment vertical="center"/>
    </xf>
    <xf numFmtId="0" fontId="17" fillId="2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7" fillId="0" borderId="0" xfId="1" applyFont="1"/>
    <xf numFmtId="0" fontId="7" fillId="7" borderId="23" xfId="1" applyFont="1" applyFill="1" applyBorder="1" applyAlignment="1">
      <alignment vertical="center"/>
    </xf>
    <xf numFmtId="0" fontId="7" fillId="2" borderId="23" xfId="1" applyFont="1" applyFill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4" fillId="6" borderId="25" xfId="1" applyFont="1" applyFill="1" applyBorder="1" applyAlignment="1">
      <alignment vertical="center"/>
    </xf>
    <xf numFmtId="0" fontId="4" fillId="2" borderId="26" xfId="1" applyFont="1" applyFill="1" applyBorder="1" applyAlignment="1">
      <alignment vertical="center"/>
    </xf>
    <xf numFmtId="177" fontId="3" fillId="0" borderId="27" xfId="1" applyNumberFormat="1" applyFont="1" applyBorder="1" applyAlignment="1">
      <alignment horizontal="left" vertical="center"/>
    </xf>
    <xf numFmtId="177" fontId="3" fillId="0" borderId="28" xfId="1" applyNumberFormat="1" applyFont="1" applyBorder="1" applyAlignment="1">
      <alignment horizontal="left" vertical="center"/>
    </xf>
    <xf numFmtId="0" fontId="7" fillId="7" borderId="29" xfId="1" applyFont="1" applyFill="1" applyBorder="1" applyAlignment="1">
      <alignment vertical="center"/>
    </xf>
    <xf numFmtId="0" fontId="7" fillId="2" borderId="29" xfId="1" applyFont="1" applyFill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3" fillId="0" borderId="26" xfId="1" applyFont="1" applyBorder="1" applyAlignment="1">
      <alignment horizontal="left" vertical="center"/>
    </xf>
    <xf numFmtId="0" fontId="3" fillId="0" borderId="30" xfId="1" applyFont="1" applyBorder="1" applyAlignment="1">
      <alignment vertical="center"/>
    </xf>
    <xf numFmtId="0" fontId="18" fillId="0" borderId="30" xfId="1" applyFont="1" applyBorder="1"/>
    <xf numFmtId="0" fontId="18" fillId="0" borderId="31" xfId="1" applyFont="1" applyBorder="1"/>
    <xf numFmtId="0" fontId="18" fillId="0" borderId="26" xfId="1" applyFont="1" applyBorder="1"/>
    <xf numFmtId="0" fontId="4" fillId="6" borderId="32" xfId="1" applyFont="1" applyFill="1" applyBorder="1" applyAlignment="1">
      <alignment vertical="center"/>
    </xf>
    <xf numFmtId="0" fontId="3" fillId="0" borderId="33" xfId="1" applyFont="1" applyBorder="1" applyAlignment="1">
      <alignment vertical="center"/>
    </xf>
    <xf numFmtId="0" fontId="7" fillId="7" borderId="26" xfId="1" applyFont="1" applyFill="1" applyBorder="1" applyAlignment="1">
      <alignment vertical="center"/>
    </xf>
    <xf numFmtId="0" fontId="7" fillId="2" borderId="26" xfId="1" applyFont="1" applyFill="1" applyBorder="1" applyAlignment="1">
      <alignment vertical="center"/>
    </xf>
    <xf numFmtId="0" fontId="19" fillId="0" borderId="26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3" fillId="0" borderId="34" xfId="1" applyFont="1" applyBorder="1" applyAlignment="1">
      <alignment vertical="center"/>
    </xf>
    <xf numFmtId="0" fontId="4" fillId="6" borderId="23" xfId="1" applyFont="1" applyFill="1" applyBorder="1" applyAlignment="1">
      <alignment horizontal="center" vertical="center" wrapText="1"/>
    </xf>
    <xf numFmtId="178" fontId="21" fillId="0" borderId="1" xfId="1" applyNumberFormat="1" applyFont="1" applyBorder="1" applyAlignment="1">
      <alignment horizontal="center" vertical="center" wrapText="1"/>
    </xf>
    <xf numFmtId="0" fontId="3" fillId="0" borderId="34" xfId="1" applyFont="1" applyBorder="1"/>
    <xf numFmtId="0" fontId="3" fillId="0" borderId="35" xfId="1" applyFont="1" applyBorder="1"/>
    <xf numFmtId="0" fontId="4" fillId="6" borderId="36" xfId="1" applyFont="1" applyFill="1" applyBorder="1" applyAlignment="1">
      <alignment horizontal="center" vertical="center"/>
    </xf>
    <xf numFmtId="0" fontId="4" fillId="6" borderId="37" xfId="1" applyFont="1" applyFill="1" applyBorder="1" applyAlignment="1">
      <alignment horizontal="center" vertical="center"/>
    </xf>
    <xf numFmtId="0" fontId="4" fillId="6" borderId="38" xfId="1" applyFont="1" applyFill="1" applyBorder="1" applyAlignment="1">
      <alignment horizontal="center" vertical="center"/>
    </xf>
    <xf numFmtId="0" fontId="4" fillId="6" borderId="39" xfId="1" applyFont="1" applyFill="1" applyBorder="1" applyAlignment="1">
      <alignment horizontal="center" vertical="center"/>
    </xf>
    <xf numFmtId="0" fontId="4" fillId="6" borderId="40" xfId="1" applyFont="1" applyFill="1" applyBorder="1" applyAlignment="1">
      <alignment horizontal="center" vertical="center"/>
    </xf>
    <xf numFmtId="0" fontId="4" fillId="6" borderId="41" xfId="1" applyFont="1" applyFill="1" applyBorder="1" applyAlignment="1">
      <alignment horizontal="center" vertical="center"/>
    </xf>
    <xf numFmtId="0" fontId="4" fillId="6" borderId="1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42" xfId="1" applyFont="1" applyFill="1" applyBorder="1" applyAlignment="1">
      <alignment horizontal="center" vertical="center"/>
    </xf>
    <xf numFmtId="0" fontId="1" fillId="0" borderId="43" xfId="1" applyFont="1" applyBorder="1"/>
    <xf numFmtId="0" fontId="19" fillId="0" borderId="3" xfId="0" applyFont="1" applyBorder="1" applyAlignment="1">
      <alignment horizontal="center" vertical="center"/>
    </xf>
    <xf numFmtId="0" fontId="18" fillId="0" borderId="44" xfId="0" applyFont="1" applyBorder="1"/>
    <xf numFmtId="0" fontId="18" fillId="0" borderId="45" xfId="0" applyFont="1" applyBorder="1"/>
    <xf numFmtId="0" fontId="3" fillId="0" borderId="3" xfId="1" applyFont="1" applyBorder="1" applyAlignment="1">
      <alignment horizontal="center" vertical="center"/>
    </xf>
    <xf numFmtId="0" fontId="18" fillId="0" borderId="45" xfId="1" applyFont="1" applyBorder="1"/>
    <xf numFmtId="0" fontId="3" fillId="0" borderId="4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/>
    </xf>
    <xf numFmtId="0" fontId="3" fillId="0" borderId="0" xfId="1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46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3" fillId="0" borderId="47" xfId="1" applyFont="1" applyBorder="1" applyAlignment="1">
      <alignment horizontal="center"/>
    </xf>
    <xf numFmtId="0" fontId="3" fillId="0" borderId="48" xfId="1" applyFont="1" applyBorder="1" applyAlignment="1">
      <alignment horizontal="center"/>
    </xf>
    <xf numFmtId="0" fontId="3" fillId="0" borderId="27" xfId="1" applyFont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0" borderId="49" xfId="1" applyFont="1" applyBorder="1"/>
    <xf numFmtId="0" fontId="3" fillId="0" borderId="49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8" fillId="0" borderId="44" xfId="1" applyFont="1" applyBorder="1"/>
    <xf numFmtId="0" fontId="3" fillId="0" borderId="50" xfId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3" borderId="50" xfId="1" applyFont="1" applyFill="1" applyBorder="1" applyAlignment="1">
      <alignment horizontal="center" vertical="center"/>
    </xf>
    <xf numFmtId="0" fontId="3" fillId="3" borderId="26" xfId="1" applyFont="1" applyFill="1" applyBorder="1" applyAlignment="1">
      <alignment horizontal="center" vertical="center"/>
    </xf>
    <xf numFmtId="0" fontId="3" fillId="3" borderId="52" xfId="1" applyFont="1" applyFill="1" applyBorder="1" applyAlignment="1">
      <alignment horizontal="center" vertical="center"/>
    </xf>
    <xf numFmtId="0" fontId="3" fillId="3" borderId="53" xfId="1" applyFont="1" applyFill="1" applyBorder="1" applyAlignment="1">
      <alignment horizontal="center" vertical="center"/>
    </xf>
    <xf numFmtId="0" fontId="3" fillId="3" borderId="54" xfId="1" applyFont="1" applyFill="1" applyBorder="1" applyAlignment="1">
      <alignment horizontal="center" vertical="center"/>
    </xf>
    <xf numFmtId="0" fontId="3" fillId="3" borderId="50" xfId="1" applyFont="1" applyFill="1" applyBorder="1" applyAlignment="1">
      <alignment vertical="center"/>
    </xf>
    <xf numFmtId="3" fontId="3" fillId="5" borderId="3" xfId="0" applyNumberFormat="1" applyFont="1" applyFill="1" applyBorder="1" applyAlignment="1">
      <alignment horizontal="center" vertical="center"/>
    </xf>
    <xf numFmtId="0" fontId="7" fillId="0" borderId="49" xfId="1" applyFont="1" applyBorder="1" applyAlignment="1">
      <alignment vertical="top" wrapText="1"/>
    </xf>
    <xf numFmtId="0" fontId="7" fillId="0" borderId="29" xfId="1" applyFont="1" applyBorder="1" applyAlignment="1">
      <alignment vertical="top"/>
    </xf>
    <xf numFmtId="0" fontId="3" fillId="0" borderId="55" xfId="1" applyFont="1" applyBorder="1" applyAlignment="1">
      <alignment vertical="center" wrapText="1"/>
    </xf>
    <xf numFmtId="0" fontId="18" fillId="0" borderId="56" xfId="1" applyFont="1" applyBorder="1"/>
    <xf numFmtId="0" fontId="18" fillId="0" borderId="57" xfId="1" applyFont="1" applyBorder="1"/>
    <xf numFmtId="0" fontId="7" fillId="0" borderId="43" xfId="1" applyFont="1" applyBorder="1" applyAlignment="1">
      <alignment vertical="top"/>
    </xf>
    <xf numFmtId="0" fontId="7" fillId="0" borderId="0" xfId="1" applyFont="1" applyAlignment="1">
      <alignment vertical="top"/>
    </xf>
    <xf numFmtId="0" fontId="18" fillId="0" borderId="58" xfId="1" applyFont="1" applyBorder="1"/>
    <xf numFmtId="0" fontId="3" fillId="0" borderId="0" xfId="1" applyFont="1"/>
    <xf numFmtId="0" fontId="18" fillId="0" borderId="59" xfId="1" applyFont="1" applyBorder="1"/>
    <xf numFmtId="0" fontId="7" fillId="0" borderId="46" xfId="1" applyFont="1" applyBorder="1" applyAlignment="1">
      <alignment vertical="top"/>
    </xf>
    <xf numFmtId="0" fontId="7" fillId="0" borderId="33" xfId="1" applyFont="1" applyBorder="1" applyAlignment="1">
      <alignment vertical="top"/>
    </xf>
    <xf numFmtId="0" fontId="18" fillId="0" borderId="60" xfId="1" applyFont="1" applyBorder="1"/>
    <xf numFmtId="0" fontId="18" fillId="0" borderId="61" xfId="1" applyFont="1" applyBorder="1"/>
    <xf numFmtId="0" fontId="18" fillId="0" borderId="2" xfId="1" applyFont="1" applyBorder="1"/>
    <xf numFmtId="0" fontId="25" fillId="0" borderId="29" xfId="1" applyFont="1" applyBorder="1"/>
    <xf numFmtId="0" fontId="25" fillId="0" borderId="0" xfId="1" applyFont="1"/>
    <xf numFmtId="0" fontId="25" fillId="0" borderId="0" xfId="1" applyFont="1" applyAlignment="1">
      <alignment horizontal="right"/>
    </xf>
    <xf numFmtId="0" fontId="14" fillId="2" borderId="0" xfId="1" applyFill="1"/>
  </cellXfs>
  <cellStyles count="2">
    <cellStyle name="표준" xfId="0" builtinId="0"/>
    <cellStyle name="표준 2" xfId="1" xr:uid="{EC2F7651-BC03-4A6B-9700-63509F3625D5}"/>
  </cellStyles>
  <dxfs count="0"/>
  <tableStyles count="0" defaultTableStyle="TableStyleMedium2" defaultPivotStyle="PivotStyleMedium9"/>
  <colors>
    <mruColors>
      <color rgb="FFB7B7B7"/>
      <color rgb="FFCCCCCC"/>
      <color rgb="FF343C61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F9673E21-1B96-4A87-AAC9-E8A43A62086B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989A777-13A0-4733-BA38-3E95D5230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32657</xdr:colOff>
      <xdr:row>0</xdr:row>
      <xdr:rowOff>141514</xdr:rowOff>
    </xdr:from>
    <xdr:to>
      <xdr:col>2</xdr:col>
      <xdr:colOff>72239</xdr:colOff>
      <xdr:row>1</xdr:row>
      <xdr:rowOff>92591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DFE079-B264-40E0-883B-12B1B4F3D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1" y="141514"/>
          <a:ext cx="1454725" cy="332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8181-E51C-478A-B124-18EE13949254}">
  <sheetPr>
    <pageSetUpPr fitToPage="1"/>
  </sheetPr>
  <dimension ref="A1:AO59"/>
  <sheetViews>
    <sheetView zoomScale="85" zoomScaleNormal="85" zoomScalePageLayoutView="57" workbookViewId="0">
      <selection activeCell="K18" sqref="K18:N18"/>
    </sheetView>
  </sheetViews>
  <sheetFormatPr defaultColWidth="9.09765625" defaultRowHeight="17.399999999999999"/>
  <cols>
    <col min="1" max="1" width="9.09765625" style="48"/>
    <col min="2" max="2" width="11.19921875" style="48" bestFit="1" customWidth="1"/>
    <col min="3" max="3" width="1" style="48" customWidth="1"/>
    <col min="4" max="4" width="4.09765625" style="48" customWidth="1"/>
    <col min="5" max="5" width="35.796875" style="48" customWidth="1"/>
    <col min="6" max="6" width="3" style="48" hidden="1" customWidth="1"/>
    <col min="7" max="7" width="6.8984375" style="48" customWidth="1"/>
    <col min="8" max="8" width="14.19921875" style="48" bestFit="1" customWidth="1"/>
    <col min="9" max="9" width="1" style="48" customWidth="1"/>
    <col min="10" max="10" width="16.09765625" style="48" customWidth="1"/>
    <col min="11" max="11" width="9.765625E-2" style="48" customWidth="1"/>
    <col min="12" max="12" width="13.09765625" style="48" customWidth="1"/>
    <col min="13" max="13" width="1" style="148" customWidth="1"/>
    <col min="14" max="14" width="25.19921875" style="48" customWidth="1"/>
    <col min="15" max="15" width="7" style="48" customWidth="1"/>
    <col min="16" max="16" width="1" style="48" customWidth="1"/>
    <col min="17" max="17" width="9.09765625" style="48"/>
    <col min="18" max="18" width="3.69921875" style="48" customWidth="1"/>
    <col min="19" max="16384" width="9.09765625" style="48"/>
  </cols>
  <sheetData>
    <row r="1" spans="1:41" ht="21.75" customHeight="1">
      <c r="A1" s="46"/>
      <c r="B1" s="47" t="s">
        <v>39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ht="15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</row>
    <row r="3" spans="1:41" ht="15" customHeight="1">
      <c r="A3" s="46"/>
      <c r="B3" s="46"/>
      <c r="C3" s="46"/>
      <c r="D3" s="46"/>
      <c r="E3" s="46"/>
      <c r="F3" s="46"/>
      <c r="G3" s="46"/>
      <c r="H3" s="49"/>
      <c r="I3" s="49"/>
      <c r="J3" s="49"/>
      <c r="K3" s="49"/>
      <c r="L3" s="46"/>
      <c r="M3" s="50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</row>
    <row r="4" spans="1:41" ht="16.5" customHeight="1">
      <c r="A4" s="51"/>
      <c r="B4" s="51"/>
      <c r="C4" s="51"/>
      <c r="D4" s="51"/>
      <c r="E4" s="51"/>
      <c r="F4" s="46"/>
      <c r="G4" s="52"/>
      <c r="H4" s="52"/>
      <c r="I4" s="52"/>
      <c r="J4" s="52"/>
      <c r="K4" s="52"/>
      <c r="L4" s="52"/>
      <c r="M4" s="53"/>
      <c r="N4" s="52"/>
      <c r="O4" s="52"/>
      <c r="P4" s="52"/>
      <c r="Q4" s="52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spans="1:41" ht="21" customHeight="1" thickBot="1">
      <c r="A5" s="51"/>
      <c r="B5" s="54"/>
      <c r="C5" s="54"/>
      <c r="D5" s="54"/>
      <c r="E5" s="54"/>
      <c r="F5" s="50"/>
      <c r="G5" s="53"/>
      <c r="H5" s="55" t="s">
        <v>40</v>
      </c>
      <c r="I5" s="55"/>
      <c r="J5" s="56"/>
      <c r="K5" s="56"/>
      <c r="L5" s="56"/>
      <c r="M5" s="55"/>
      <c r="N5" s="56"/>
      <c r="O5" s="56"/>
      <c r="P5" s="56"/>
      <c r="Q5" s="5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spans="1:41" ht="27" customHeight="1" thickTop="1">
      <c r="B6" s="57" t="s">
        <v>41</v>
      </c>
      <c r="C6" s="58"/>
      <c r="D6" s="59">
        <v>26030901</v>
      </c>
      <c r="E6" s="59"/>
      <c r="F6" s="59"/>
      <c r="G6" s="60"/>
      <c r="H6" s="61" t="s">
        <v>42</v>
      </c>
      <c r="I6" s="62"/>
      <c r="J6" s="63" t="s">
        <v>43</v>
      </c>
      <c r="K6" s="63"/>
      <c r="L6" s="61" t="s">
        <v>44</v>
      </c>
      <c r="M6" s="62"/>
      <c r="N6" s="64" t="s">
        <v>45</v>
      </c>
      <c r="O6" s="61" t="s">
        <v>46</v>
      </c>
      <c r="P6" s="62"/>
      <c r="Q6" s="63" t="s">
        <v>47</v>
      </c>
      <c r="R6" s="63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spans="1:41" ht="26.25" customHeight="1">
      <c r="A7" s="51"/>
      <c r="B7" s="65" t="s">
        <v>48</v>
      </c>
      <c r="C7" s="66"/>
      <c r="D7" s="67">
        <v>46090</v>
      </c>
      <c r="E7" s="67"/>
      <c r="F7" s="68"/>
      <c r="G7" s="60"/>
      <c r="H7" s="69" t="s">
        <v>49</v>
      </c>
      <c r="I7" s="70"/>
      <c r="J7" s="71" t="s">
        <v>50</v>
      </c>
      <c r="K7" s="71"/>
      <c r="L7" s="69" t="s">
        <v>51</v>
      </c>
      <c r="M7" s="70"/>
      <c r="N7" s="72" t="s">
        <v>52</v>
      </c>
      <c r="O7" s="72"/>
      <c r="P7" s="72"/>
      <c r="Q7" s="72"/>
      <c r="R7" s="72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spans="1:41" ht="26.25" customHeight="1">
      <c r="A8" s="51"/>
      <c r="B8" s="65" t="s">
        <v>53</v>
      </c>
      <c r="C8" s="66"/>
      <c r="D8" s="73" t="s">
        <v>54</v>
      </c>
      <c r="E8" s="74"/>
      <c r="F8" s="75"/>
      <c r="G8" s="60"/>
      <c r="H8" s="69" t="s">
        <v>55</v>
      </c>
      <c r="I8" s="70"/>
      <c r="J8" s="71" t="s">
        <v>56</v>
      </c>
      <c r="K8" s="76"/>
      <c r="L8" s="69" t="s">
        <v>57</v>
      </c>
      <c r="M8" s="70"/>
      <c r="N8" s="72" t="s">
        <v>58</v>
      </c>
      <c r="O8" s="72"/>
      <c r="P8" s="72"/>
      <c r="Q8" s="72"/>
      <c r="R8" s="72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spans="1:41" ht="27.75" customHeight="1">
      <c r="A9" s="51"/>
      <c r="B9" s="77" t="s">
        <v>59</v>
      </c>
      <c r="C9" s="66"/>
      <c r="D9" s="78" t="s">
        <v>60</v>
      </c>
      <c r="E9" s="78"/>
      <c r="F9" s="78"/>
      <c r="G9" s="60"/>
      <c r="H9" s="79" t="s">
        <v>61</v>
      </c>
      <c r="I9" s="80"/>
      <c r="J9" s="81" t="s">
        <v>62</v>
      </c>
      <c r="K9" s="82"/>
      <c r="L9" s="82"/>
      <c r="M9" s="82"/>
      <c r="N9" s="82"/>
      <c r="O9" s="82"/>
      <c r="P9" s="82"/>
      <c r="Q9" s="82"/>
      <c r="R9" s="82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spans="1:41" ht="18" thickBot="1">
      <c r="A10" s="51"/>
      <c r="B10" s="83"/>
      <c r="C10" s="83"/>
      <c r="D10" s="83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 spans="1:41" ht="50.25" customHeight="1" thickTop="1">
      <c r="A11" s="51"/>
      <c r="B11" s="85" t="s">
        <v>63</v>
      </c>
      <c r="C11" s="85"/>
      <c r="D11" s="85"/>
      <c r="E11" s="86" t="str">
        <f>"일금 "&amp;NUMBERSTRING(K18,1)&amp;" 원정"&amp;TEXT(K18,"(₩#,###)")</f>
        <v>일금 오백삼십만 원정(₩5,300,000)</v>
      </c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</row>
    <row r="12" spans="1:41" ht="18" thickBot="1">
      <c r="A12" s="46"/>
      <c r="B12" s="87"/>
      <c r="C12" s="87"/>
      <c r="D12" s="87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</row>
    <row r="13" spans="1:41" ht="29.25" customHeight="1" thickTop="1">
      <c r="A13" s="46"/>
      <c r="B13" s="89" t="s">
        <v>0</v>
      </c>
      <c r="C13" s="90"/>
      <c r="D13" s="90"/>
      <c r="E13" s="91"/>
      <c r="F13" s="92" t="s">
        <v>1</v>
      </c>
      <c r="G13" s="91"/>
      <c r="H13" s="93" t="s">
        <v>2</v>
      </c>
      <c r="I13" s="94" t="s">
        <v>3</v>
      </c>
      <c r="J13" s="95"/>
      <c r="K13" s="96" t="s">
        <v>4</v>
      </c>
      <c r="L13" s="96"/>
      <c r="M13" s="96"/>
      <c r="N13" s="97"/>
      <c r="O13" s="96" t="s">
        <v>5</v>
      </c>
      <c r="P13" s="96"/>
      <c r="Q13" s="96"/>
      <c r="R13" s="96"/>
      <c r="S13" s="98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</row>
    <row r="14" spans="1:41" ht="28.5" customHeight="1">
      <c r="A14" s="46"/>
      <c r="B14" s="99" t="str">
        <f>Sheet2!C3</f>
        <v>옥상 이중복합방수 3.8mm (제 1안)</v>
      </c>
      <c r="C14" s="100"/>
      <c r="D14" s="100"/>
      <c r="E14" s="101"/>
      <c r="F14" s="102" t="s">
        <v>64</v>
      </c>
      <c r="G14" s="103"/>
      <c r="H14" s="104">
        <v>1</v>
      </c>
      <c r="I14" s="105"/>
      <c r="J14" s="106"/>
      <c r="K14" s="107">
        <f>Sheet2!M21</f>
        <v>5362800</v>
      </c>
      <c r="L14" s="100"/>
      <c r="M14" s="100"/>
      <c r="N14" s="101"/>
      <c r="O14" s="108"/>
      <c r="P14" s="109"/>
      <c r="Q14" s="109"/>
      <c r="R14" s="110"/>
      <c r="S14" s="98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</row>
    <row r="15" spans="1:41" ht="25.5" customHeight="1">
      <c r="A15" s="46"/>
      <c r="B15" s="111"/>
      <c r="C15" s="112"/>
      <c r="D15" s="112"/>
      <c r="E15" s="113"/>
      <c r="F15" s="114"/>
      <c r="G15" s="114"/>
      <c r="H15" s="115"/>
      <c r="I15" s="116"/>
      <c r="J15" s="114"/>
      <c r="K15" s="117"/>
      <c r="L15" s="118"/>
      <c r="M15" s="118"/>
      <c r="N15" s="103"/>
      <c r="O15" s="119"/>
      <c r="P15" s="120"/>
      <c r="Q15" s="120"/>
      <c r="R15" s="121"/>
      <c r="S15" s="98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</row>
    <row r="16" spans="1:41" ht="25.5" customHeight="1">
      <c r="A16" s="46"/>
      <c r="B16" s="119"/>
      <c r="C16" s="120"/>
      <c r="D16" s="120"/>
      <c r="E16" s="121"/>
      <c r="F16" s="119"/>
      <c r="G16" s="121"/>
      <c r="H16" s="115"/>
      <c r="I16" s="119"/>
      <c r="J16" s="121"/>
      <c r="K16" s="117"/>
      <c r="L16" s="118"/>
      <c r="M16" s="118"/>
      <c r="N16" s="103"/>
      <c r="O16" s="119"/>
      <c r="P16" s="120"/>
      <c r="Q16" s="120"/>
      <c r="R16" s="121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</row>
    <row r="17" spans="1:41" ht="25.5" customHeight="1">
      <c r="A17" s="46"/>
      <c r="B17" s="119"/>
      <c r="C17" s="120"/>
      <c r="D17" s="120"/>
      <c r="E17" s="122"/>
      <c r="F17" s="114"/>
      <c r="G17" s="114"/>
      <c r="H17" s="115"/>
      <c r="I17" s="116"/>
      <c r="J17" s="114"/>
      <c r="K17" s="117"/>
      <c r="L17" s="118"/>
      <c r="M17" s="118"/>
      <c r="N17" s="103"/>
      <c r="O17" s="119"/>
      <c r="P17" s="120"/>
      <c r="Q17" s="120"/>
      <c r="R17" s="121"/>
      <c r="S17" s="98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</row>
    <row r="18" spans="1:41" ht="27" customHeight="1">
      <c r="A18" s="46"/>
      <c r="B18" s="123" t="s">
        <v>65</v>
      </c>
      <c r="C18" s="124"/>
      <c r="D18" s="124"/>
      <c r="E18" s="125"/>
      <c r="F18" s="126"/>
      <c r="G18" s="127"/>
      <c r="H18" s="128"/>
      <c r="I18" s="123"/>
      <c r="J18" s="124"/>
      <c r="K18" s="129">
        <f>Sheet2!M22</f>
        <v>5300000</v>
      </c>
      <c r="L18" s="100"/>
      <c r="M18" s="100"/>
      <c r="N18" s="101"/>
      <c r="O18" s="123" t="s">
        <v>66</v>
      </c>
      <c r="P18" s="124"/>
      <c r="Q18" s="124"/>
      <c r="R18" s="124"/>
      <c r="S18" s="98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</row>
    <row r="19" spans="1:41" ht="26.25" customHeight="1">
      <c r="A19" s="46"/>
      <c r="B19" s="130" t="s">
        <v>67</v>
      </c>
      <c r="C19" s="131"/>
      <c r="D19" s="132" t="s">
        <v>68</v>
      </c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4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</row>
    <row r="20" spans="1:41" ht="19.5" customHeight="1">
      <c r="A20" s="46"/>
      <c r="B20" s="135"/>
      <c r="C20" s="136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9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</row>
    <row r="21" spans="1:41" ht="21" customHeight="1">
      <c r="A21" s="46"/>
      <c r="B21" s="135"/>
      <c r="C21" s="136"/>
      <c r="D21" s="137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9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</row>
    <row r="22" spans="1:41">
      <c r="A22" s="46"/>
      <c r="B22" s="140"/>
      <c r="C22" s="141"/>
      <c r="D22" s="142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4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</row>
    <row r="23" spans="1:41">
      <c r="A23" s="46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</row>
    <row r="24" spans="1:41">
      <c r="A24" s="46"/>
      <c r="B24" s="146"/>
      <c r="C24" s="146"/>
      <c r="D24" s="146"/>
      <c r="E24" s="147" t="s">
        <v>69</v>
      </c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</row>
    <row r="25" spans="1:41">
      <c r="A25" s="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</row>
    <row r="26" spans="1:41">
      <c r="A26" s="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</row>
    <row r="27" spans="1:41">
      <c r="A27" s="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</row>
    <row r="28" spans="1:41">
      <c r="A28" s="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</row>
    <row r="29" spans="1:41">
      <c r="A29" s="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</row>
    <row r="30" spans="1:41">
      <c r="A30" s="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</row>
    <row r="31" spans="1:41">
      <c r="A31" s="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</row>
    <row r="32" spans="1:41">
      <c r="A32" s="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</row>
    <row r="33" spans="1:41">
      <c r="A33" s="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</row>
    <row r="34" spans="1:41">
      <c r="A34" s="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</row>
    <row r="35" spans="1:4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50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</row>
    <row r="36" spans="1:4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50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</row>
    <row r="37" spans="1:4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50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</row>
    <row r="38" spans="1:4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50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</row>
    <row r="39" spans="1:4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50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</row>
    <row r="40" spans="1:4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50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</row>
    <row r="41" spans="1: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50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</row>
    <row r="42" spans="1:4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50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</row>
    <row r="43" spans="1:4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50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</row>
    <row r="44" spans="1:4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50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</row>
    <row r="45" spans="1:4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50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</row>
    <row r="46" spans="1:4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50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</row>
    <row r="47" spans="1:4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50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</row>
    <row r="48" spans="1:4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50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</row>
    <row r="49" spans="1:4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50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</row>
    <row r="50" spans="1:4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50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</row>
    <row r="51" spans="1:4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50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</row>
    <row r="52" spans="1:4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50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</row>
    <row r="53" spans="1:4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50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</row>
    <row r="54" spans="1:4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50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</row>
    <row r="55" spans="1:4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50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</row>
    <row r="56" spans="1:4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50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</row>
    <row r="57" spans="1:4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50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</row>
    <row r="58" spans="1:4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50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</row>
    <row r="59" spans="1:4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50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2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C1" sqref="C1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28" t="s">
        <v>37</v>
      </c>
      <c r="C3" s="39" t="s">
        <v>38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29" t="s">
        <v>0</v>
      </c>
      <c r="C5" s="31" t="s">
        <v>1</v>
      </c>
      <c r="D5" s="31" t="s">
        <v>6</v>
      </c>
      <c r="E5" s="31" t="s">
        <v>2</v>
      </c>
      <c r="F5" s="42" t="s">
        <v>7</v>
      </c>
      <c r="G5" s="43"/>
      <c r="H5" s="44" t="s">
        <v>8</v>
      </c>
      <c r="I5" s="45"/>
      <c r="J5" s="44" t="s">
        <v>9</v>
      </c>
      <c r="K5" s="45"/>
      <c r="L5" s="44" t="s">
        <v>13</v>
      </c>
      <c r="M5" s="45"/>
      <c r="N5" s="27" t="s">
        <v>5</v>
      </c>
    </row>
    <row r="6" spans="1:18" ht="31.35" customHeight="1">
      <c r="A6" s="1"/>
      <c r="B6" s="30"/>
      <c r="C6" s="32"/>
      <c r="D6" s="32"/>
      <c r="E6" s="32"/>
      <c r="F6" s="36" t="s">
        <v>3</v>
      </c>
      <c r="G6" s="35" t="s">
        <v>4</v>
      </c>
      <c r="H6" s="37" t="s">
        <v>3</v>
      </c>
      <c r="I6" s="33" t="s">
        <v>4</v>
      </c>
      <c r="J6" s="37" t="s">
        <v>3</v>
      </c>
      <c r="K6" s="33" t="s">
        <v>4</v>
      </c>
      <c r="L6" s="38" t="s">
        <v>3</v>
      </c>
      <c r="M6" s="33" t="s">
        <v>4</v>
      </c>
      <c r="N6" s="34"/>
      <c r="O6" s="1"/>
      <c r="P6" s="1"/>
      <c r="Q6" s="1"/>
      <c r="R6" s="1"/>
    </row>
    <row r="7" spans="1:18" ht="30" customHeight="1">
      <c r="A7" s="1"/>
      <c r="B7" s="26" t="s">
        <v>34</v>
      </c>
      <c r="C7" s="15"/>
      <c r="D7" s="12" t="s">
        <v>11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2"/>
    </row>
    <row r="8" spans="1:18" ht="38.4">
      <c r="A8" s="1"/>
      <c r="B8" s="26" t="s">
        <v>35</v>
      </c>
      <c r="C8" s="15"/>
      <c r="D8" s="12" t="s">
        <v>36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0" customHeight="1">
      <c r="A9" s="1"/>
      <c r="B9" s="16" t="s">
        <v>14</v>
      </c>
      <c r="C9" s="6"/>
      <c r="D9" s="12" t="s">
        <v>11</v>
      </c>
      <c r="E9" s="3">
        <v>100</v>
      </c>
      <c r="F9" s="4">
        <v>1400</v>
      </c>
      <c r="G9" s="3">
        <f t="shared" ref="G9:G12" si="1">E9*F9</f>
        <v>140000</v>
      </c>
      <c r="H9" s="4">
        <v>1600</v>
      </c>
      <c r="I9" s="3">
        <f t="shared" ref="I9:I12" si="2">H9*E9</f>
        <v>160000</v>
      </c>
      <c r="J9" s="4"/>
      <c r="K9" s="4"/>
      <c r="L9" s="5">
        <f t="shared" ref="L9:L12" si="3">J9+H9+F9</f>
        <v>3000</v>
      </c>
      <c r="M9" s="3">
        <f t="shared" ref="M9:M12" si="4">SUM(K9+I9+G9)</f>
        <v>300000</v>
      </c>
      <c r="N9" s="12"/>
    </row>
    <row r="10" spans="1:18" ht="30" customHeight="1">
      <c r="A10" s="1"/>
      <c r="B10" s="17" t="s">
        <v>15</v>
      </c>
      <c r="C10" s="6" t="s">
        <v>12</v>
      </c>
      <c r="D10" s="12" t="s">
        <v>11</v>
      </c>
      <c r="E10" s="3">
        <v>100</v>
      </c>
      <c r="F10" s="4">
        <v>12200</v>
      </c>
      <c r="G10" s="3">
        <f t="shared" si="1"/>
        <v>1220000</v>
      </c>
      <c r="H10" s="4">
        <v>7500</v>
      </c>
      <c r="I10" s="3">
        <f t="shared" si="2"/>
        <v>750000</v>
      </c>
      <c r="J10" s="4">
        <v>1000</v>
      </c>
      <c r="K10" s="3">
        <f>J10*E10</f>
        <v>100000</v>
      </c>
      <c r="L10" s="5">
        <f t="shared" si="3"/>
        <v>20700</v>
      </c>
      <c r="M10" s="3">
        <f t="shared" si="4"/>
        <v>2070000</v>
      </c>
      <c r="N10" s="12"/>
    </row>
    <row r="11" spans="1:18" ht="38.4">
      <c r="A11" s="1"/>
      <c r="B11" s="17" t="s">
        <v>16</v>
      </c>
      <c r="C11" s="6"/>
      <c r="D11" s="12" t="s">
        <v>11</v>
      </c>
      <c r="E11" s="3">
        <v>100</v>
      </c>
      <c r="F11" s="4">
        <v>2000</v>
      </c>
      <c r="G11" s="3">
        <f t="shared" si="1"/>
        <v>200000</v>
      </c>
      <c r="H11" s="4">
        <v>2500</v>
      </c>
      <c r="I11" s="3">
        <f t="shared" si="2"/>
        <v>250000</v>
      </c>
      <c r="J11" s="4"/>
      <c r="K11" s="4"/>
      <c r="L11" s="5">
        <f t="shared" si="3"/>
        <v>4500</v>
      </c>
      <c r="M11" s="3">
        <f t="shared" si="4"/>
        <v>450000</v>
      </c>
      <c r="N11" s="12"/>
    </row>
    <row r="12" spans="1:18" ht="30" customHeight="1">
      <c r="A12" s="1"/>
      <c r="B12" s="16" t="s">
        <v>17</v>
      </c>
      <c r="C12" s="6" t="s">
        <v>18</v>
      </c>
      <c r="D12" s="12" t="s">
        <v>11</v>
      </c>
      <c r="E12" s="3">
        <v>100</v>
      </c>
      <c r="F12" s="4">
        <v>8000</v>
      </c>
      <c r="G12" s="3">
        <f t="shared" si="1"/>
        <v>800000</v>
      </c>
      <c r="H12" s="4">
        <v>5500</v>
      </c>
      <c r="I12" s="3">
        <f t="shared" si="2"/>
        <v>550000</v>
      </c>
      <c r="J12" s="4">
        <v>800</v>
      </c>
      <c r="K12" s="3">
        <f>J12*E12</f>
        <v>80000</v>
      </c>
      <c r="L12" s="5">
        <f t="shared" si="3"/>
        <v>14300</v>
      </c>
      <c r="M12" s="3">
        <f t="shared" si="4"/>
        <v>1430000</v>
      </c>
      <c r="N12" s="12"/>
    </row>
    <row r="13" spans="1:18" ht="30" customHeight="1">
      <c r="B13" s="16" t="s">
        <v>19</v>
      </c>
      <c r="C13" s="6" t="s">
        <v>20</v>
      </c>
      <c r="D13" s="12" t="s">
        <v>11</v>
      </c>
      <c r="E13" s="3"/>
      <c r="F13" s="4">
        <v>5500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1000</v>
      </c>
      <c r="K13" s="3">
        <f>J13*E13</f>
        <v>0</v>
      </c>
      <c r="L13" s="5">
        <f t="shared" ref="L13:L14" si="7">J13+H13+F13</f>
        <v>10800</v>
      </c>
      <c r="M13" s="3">
        <f t="shared" ref="M13:M15" si="8">SUM(K13+I13+G13)</f>
        <v>0</v>
      </c>
      <c r="N13" s="12"/>
    </row>
    <row r="14" spans="1:18" ht="30" customHeight="1">
      <c r="B14" s="16" t="s">
        <v>21</v>
      </c>
      <c r="C14" s="6" t="s">
        <v>22</v>
      </c>
      <c r="D14" s="12" t="s">
        <v>11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 t="shared" si="7"/>
        <v>4000</v>
      </c>
      <c r="M14" s="3">
        <f t="shared" si="8"/>
        <v>400000</v>
      </c>
      <c r="N14" s="12"/>
    </row>
    <row r="15" spans="1:18" ht="30" customHeight="1">
      <c r="B15" s="16" t="s">
        <v>23</v>
      </c>
      <c r="C15" s="6"/>
      <c r="D15" s="12" t="s">
        <v>24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8"/>
        <v>120000</v>
      </c>
      <c r="N15" s="12"/>
    </row>
    <row r="16" spans="1:18" ht="30" customHeight="1">
      <c r="B16" s="16" t="s">
        <v>25</v>
      </c>
      <c r="C16" s="6"/>
      <c r="D16" s="12" t="s">
        <v>26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ref="M16:M17" si="9">SUM(K16+I16+G16)</f>
        <v>0</v>
      </c>
      <c r="N16" s="12"/>
    </row>
    <row r="17" spans="2:14" ht="30" customHeight="1">
      <c r="B17" s="16" t="s">
        <v>27</v>
      </c>
      <c r="C17" s="6"/>
      <c r="D17" s="12" t="s">
        <v>26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9"/>
        <v>0</v>
      </c>
      <c r="N17" s="12"/>
    </row>
    <row r="18" spans="2:14" ht="30" customHeight="1">
      <c r="B18" s="18" t="s">
        <v>28</v>
      </c>
      <c r="C18" s="8"/>
      <c r="D18" s="9"/>
      <c r="E18" s="2"/>
      <c r="F18" s="2"/>
      <c r="G18" s="10">
        <f>SUM(G7:G17)</f>
        <v>2610000</v>
      </c>
      <c r="H18" s="19"/>
      <c r="I18" s="10">
        <f>SUM(I7:I17)</f>
        <v>2010000</v>
      </c>
      <c r="J18" s="2"/>
      <c r="K18" s="10">
        <f>SUM(K7:K17)</f>
        <v>300000</v>
      </c>
      <c r="L18" s="2"/>
      <c r="M18" s="2">
        <f>SUM(M7:M17)</f>
        <v>4920000</v>
      </c>
      <c r="N18" s="11"/>
    </row>
    <row r="19" spans="2:14" ht="38.4">
      <c r="B19" s="20" t="s">
        <v>29</v>
      </c>
      <c r="C19" s="6"/>
      <c r="D19" s="12" t="s">
        <v>10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147600</v>
      </c>
      <c r="N19" s="12"/>
    </row>
    <row r="20" spans="2:14" ht="30" customHeight="1">
      <c r="B20" s="7" t="s">
        <v>30</v>
      </c>
      <c r="C20" s="6"/>
      <c r="D20" s="12" t="s">
        <v>10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295200</v>
      </c>
      <c r="N20" s="12"/>
    </row>
    <row r="21" spans="2:14" ht="30" customHeight="1">
      <c r="B21" s="21" t="s">
        <v>31</v>
      </c>
      <c r="C21" s="22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5362800</v>
      </c>
      <c r="N21" s="11"/>
    </row>
    <row r="22" spans="2:14" ht="30" customHeight="1">
      <c r="B22" s="23" t="s">
        <v>32</v>
      </c>
      <c r="C22" s="24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5300000</v>
      </c>
      <c r="N22" s="25" t="s">
        <v>33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2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2026-03-09T02:38:43Z</cp:lastPrinted>
  <dcterms:created xsi:type="dcterms:W3CDTF">2025-04-06T12:41:57Z</dcterms:created>
  <dcterms:modified xsi:type="dcterms:W3CDTF">2026-03-09T06:04:10Z</dcterms:modified>
  <cp:category/>
  <cp:contentStatus/>
</cp:coreProperties>
</file>