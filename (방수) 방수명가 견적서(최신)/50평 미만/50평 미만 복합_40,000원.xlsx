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937846f523f99d7c/견적서 방수명가화/50평미만/"/>
    </mc:Choice>
  </mc:AlternateContent>
  <xr:revisionPtr revIDLastSave="25" documentId="8_{DF32F202-3DB6-4DEB-843D-466BBB5EDDA0}" xr6:coauthVersionLast="47" xr6:coauthVersionMax="47" xr10:uidLastSave="{356C630F-055E-40D4-9716-E360308D8F29}"/>
  <bookViews>
    <workbookView xWindow="-108" yWindow="-108" windowWidth="23256" windowHeight="12456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5" l="1"/>
  <c r="K18" i="5"/>
  <c r="K14" i="5"/>
  <c r="E11" i="5"/>
  <c r="L8" i="3"/>
  <c r="M17" i="3"/>
  <c r="L17" i="3"/>
  <c r="M16" i="3"/>
  <c r="L16" i="3"/>
  <c r="M8" i="3"/>
  <c r="L15" i="3"/>
  <c r="M15" i="3"/>
  <c r="K13" i="3"/>
  <c r="L14" i="3"/>
  <c r="I14" i="3"/>
  <c r="G14" i="3"/>
  <c r="L13" i="3"/>
  <c r="I13" i="3"/>
  <c r="G13" i="3"/>
  <c r="M14" i="3" l="1"/>
  <c r="M13" i="3"/>
  <c r="L12" i="3" l="1"/>
  <c r="K12" i="3"/>
  <c r="I12" i="3"/>
  <c r="G12" i="3"/>
  <c r="L11" i="3"/>
  <c r="I11" i="3"/>
  <c r="G11" i="3"/>
  <c r="L10" i="3"/>
  <c r="K10" i="3"/>
  <c r="I10" i="3"/>
  <c r="G10" i="3"/>
  <c r="L9" i="3"/>
  <c r="I9" i="3"/>
  <c r="G9" i="3"/>
  <c r="L7" i="3"/>
  <c r="I7" i="3"/>
  <c r="G7" i="3"/>
  <c r="M7" i="3" l="1"/>
  <c r="K18" i="3"/>
  <c r="G18" i="3"/>
  <c r="M9" i="3"/>
  <c r="M11" i="3"/>
  <c r="M12" i="3"/>
  <c r="M10" i="3"/>
  <c r="I18" i="3"/>
  <c r="M18" i="3" l="1"/>
  <c r="M20" i="3" s="1"/>
  <c r="M19" i="3" l="1"/>
  <c r="M21" i="3" s="1"/>
  <c r="M22" i="3" l="1"/>
</calcChain>
</file>

<file path=xl/sharedStrings.xml><?xml version="1.0" encoding="utf-8"?>
<sst xmlns="http://schemas.openxmlformats.org/spreadsheetml/2006/main" count="90" uniqueCount="70">
  <si>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</si>
  <si>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</si>
  <si>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</si>
  <si>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</si>
  <si>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</si>
  <si>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</si>
  <si>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</si>
  <si>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</si>
  <si>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</si>
  <si>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</si>
  <si>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</si>
  <si>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</si>
  <si>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</si>
  <si>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</si>
  <si>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</si>
  <si>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t xml:space="preserve">  전화번호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</si>
  <si>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</si>
  <si>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</si>
  <si>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</si>
  <si>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</si>
  <si>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</si>
  <si>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</si>
  <si>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</si>
  <si>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</si>
  <si>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</si>
  <si>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</si>
  <si>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</si>
  <si>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</si>
  <si>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</si>
  <si>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</si>
  <si>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t>단 위</t>
  </si>
  <si>
    <t>재 료 비</t>
  </si>
  <si>
    <t>인 건 비</t>
  </si>
  <si>
    <t>경 비</t>
  </si>
  <si>
    <t>%</t>
    <phoneticPr fontId="5" type="noConversion"/>
  </si>
  <si>
    <t>m²</t>
  </si>
  <si>
    <t>2.3mm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</si>
  <si>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</si>
  <si>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</si>
  <si>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</si>
  <si>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</si>
  <si>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8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5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>)</t>
    </r>
    <r>
      <rPr>
        <sz val="12"/>
        <color theme="1"/>
        <rFont val="Arial"/>
        <family val="2"/>
      </rPr>
      <t xml:space="preserve">
  2. </t>
    </r>
    <r>
      <rPr>
        <sz val="12"/>
        <color theme="1"/>
        <rFont val="맑은 고딕"/>
        <family val="3"/>
        <charset val="129"/>
      </rPr>
      <t>견적서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제출</t>
    </r>
    <r>
      <rPr>
        <sz val="12"/>
        <color theme="1"/>
        <rFont val="Arial"/>
        <family val="2"/>
      </rPr>
      <t xml:space="preserve"> 30</t>
    </r>
    <r>
      <rPr>
        <sz val="12"/>
        <color theme="1"/>
        <rFont val="맑은 고딕"/>
        <family val="3"/>
        <charset val="129"/>
      </rPr>
      <t>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유효
</t>
    </r>
    <r>
      <rPr>
        <sz val="12"/>
        <color theme="1"/>
        <rFont val="Arial"/>
        <family val="2"/>
      </rPr>
      <t xml:space="preserve">  3. </t>
    </r>
    <r>
      <rPr>
        <sz val="12"/>
        <color theme="1"/>
        <rFont val="맑은 고딕"/>
        <family val="3"/>
        <charset val="129"/>
      </rPr>
      <t>열차단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효과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크랙방지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반영구적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방수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공법
</t>
    </r>
    <r>
      <rPr>
        <sz val="12"/>
        <color theme="1"/>
        <rFont val="Arial"/>
        <family val="2"/>
      </rPr>
      <t xml:space="preserve">       * </t>
    </r>
    <r>
      <rPr>
        <sz val="12"/>
        <color theme="1"/>
        <rFont val="맑은 고딕"/>
        <family val="3"/>
        <charset val="129"/>
      </rPr>
      <t>부가가치세별도</t>
    </r>
    <phoneticPr fontId="5" type="noConversion"/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</si>
  <si>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</si>
  <si>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</si>
  <si>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시트</t>
    </r>
  </si>
  <si>
    <r>
      <rPr>
        <sz val="12"/>
        <color theme="1"/>
        <rFont val="Malgun Gothic"/>
        <family val="3"/>
        <charset val="129"/>
      </rPr>
      <t>쪼인트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Malgun Gothic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부착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</si>
  <si>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</si>
  <si>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1.5mm(2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</si>
  <si>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</si>
  <si>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</si>
  <si>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</si>
  <si>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</si>
  <si>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</si>
  <si>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</si>
  <si>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</si>
  <si>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</si>
  <si>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</si>
  <si>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</si>
  <si>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</si>
  <si>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</si>
  <si>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</si>
  <si>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</si>
  <si>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</si>
  <si>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t>바탕조정제
부분미장</t>
    <phoneticPr fontId="5" type="noConversion"/>
  </si>
  <si>
    <t>식</t>
    <phoneticPr fontId="5" type="noConversion"/>
  </si>
  <si>
    <t>공 사 명</t>
  </si>
  <si>
    <t>010.5379.3587</t>
    <phoneticPr fontId="5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</si>
  <si>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</si>
  <si>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이중복합방수</t>
    </r>
    <r>
      <rPr>
        <sz val="12"/>
        <color theme="1"/>
        <rFont val="Arial"/>
        <family val="2"/>
      </rPr>
      <t xml:space="preserve"> 3.8mm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 1안)</t>
    </r>
    <phoneticPr fontId="5" type="noConversion"/>
  </si>
  <si>
    <t>Brand Collaborations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</si>
</sst>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5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2"/>
      <color rgb="FFFF0000"/>
      <name val="Arial"/>
      <family val="2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62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2" tint="-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 style="thick">
        <color rgb="FF000000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ck">
        <color rgb="FF000000"/>
      </top>
      <bottom style="thin">
        <color theme="2" tint="-0.499984740745262"/>
      </bottom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1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10" xfId="0" applyFont="1" applyBorder="1"/>
    <xf numFmtId="0" fontId="3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2" xfId="0" applyFont="1" applyBorder="1"/>
    <xf numFmtId="0" fontId="4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1" fillId="0" borderId="0" xfId="0" applyFont="1"/>
    <xf numFmtId="0" fontId="11" fillId="3" borderId="4" xfId="0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1" fillId="3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11" fillId="3" borderId="3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6" fillId="0" borderId="6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1" xfId="0" applyFont="1" applyBorder="1"/>
    <xf numFmtId="0" fontId="6" fillId="4" borderId="8" xfId="0" applyFont="1" applyFill="1" applyBorder="1" applyAlignmen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23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3" fillId="0" borderId="0" xfId="0" applyFont="1" applyAlignment="1">
      <alignment horizontal="center" wrapText="1"/>
    </xf>
    <xf numFmtId="176" fontId="20" fillId="0" borderId="1" xfId="0" applyNumberFormat="1" applyFont="1" applyBorder="1" applyAlignment="1">
      <alignment horizontal="center" vertical="center" wrapText="1"/>
    </xf>
    <xf numFmtId="0" fontId="21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13" fillId="0" borderId="3" xfId="0" applyFont="1" applyBorder="1"/>
    <xf numFmtId="0" fontId="6" fillId="0" borderId="19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1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13" fillId="0" borderId="23" xfId="0" applyFont="1" applyBorder="1"/>
    <xf numFmtId="0" fontId="13" fillId="0" borderId="24" xfId="0" applyFont="1" applyBorder="1"/>
    <xf numFmtId="0" fontId="6" fillId="0" borderId="8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7" xfId="0" applyFont="1" applyBorder="1"/>
    <xf numFmtId="0" fontId="21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4" borderId="8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6" fillId="0" borderId="25" xfId="0" applyFont="1" applyBorder="1" applyAlignment="1">
      <alignment vertical="center" wrapText="1"/>
    </xf>
    <xf numFmtId="0" fontId="13" fillId="0" borderId="26" xfId="0" applyFont="1" applyBorder="1"/>
    <xf numFmtId="0" fontId="13" fillId="0" borderId="27" xfId="0" applyFont="1" applyBorder="1"/>
    <xf numFmtId="0" fontId="13" fillId="0" borderId="20" xfId="0" applyFont="1" applyBorder="1"/>
    <xf numFmtId="0" fontId="6" fillId="0" borderId="0" xfId="0" applyFont="1"/>
    <xf numFmtId="0" fontId="13" fillId="0" borderId="28" xfId="0" applyFont="1" applyBorder="1"/>
    <xf numFmtId="0" fontId="13" fillId="0" borderId="29" xfId="0" applyFont="1" applyBorder="1"/>
    <xf numFmtId="0" fontId="13" fillId="0" borderId="30" xfId="0" applyFont="1" applyBorder="1"/>
    <xf numFmtId="0" fontId="13" fillId="0" borderId="15" xfId="0" applyFont="1" applyBorder="1"/>
    <xf numFmtId="0" fontId="11" fillId="0" borderId="11" xfId="0" applyFont="1" applyBorder="1" applyAlignment="1">
      <alignment vertical="top" wrapText="1"/>
    </xf>
    <xf numFmtId="0" fontId="11" fillId="0" borderId="2" xfId="0" applyFont="1" applyBorder="1" applyAlignment="1">
      <alignment vertical="top"/>
    </xf>
    <xf numFmtId="0" fontId="11" fillId="0" borderId="10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12" xfId="0" applyFont="1" applyBorder="1" applyAlignment="1">
      <alignment vertical="top"/>
    </xf>
    <xf numFmtId="0" fontId="11" fillId="0" borderId="13" xfId="0" applyFont="1" applyBorder="1" applyAlignment="1">
      <alignment vertical="top"/>
    </xf>
    <xf numFmtId="0" fontId="12" fillId="7" borderId="33" xfId="0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7" fillId="7" borderId="34" xfId="0" applyFont="1" applyFill="1" applyBorder="1" applyAlignment="1">
      <alignment vertical="center"/>
    </xf>
    <xf numFmtId="178" fontId="6" fillId="0" borderId="35" xfId="0" applyNumberFormat="1" applyFont="1" applyBorder="1" applyAlignment="1">
      <alignment horizontal="left" vertical="center"/>
    </xf>
    <xf numFmtId="178" fontId="6" fillId="0" borderId="36" xfId="0" applyNumberFormat="1" applyFont="1" applyBorder="1" applyAlignment="1">
      <alignment horizontal="left" vertical="center"/>
    </xf>
    <xf numFmtId="0" fontId="6" fillId="0" borderId="37" xfId="0" applyFont="1" applyBorder="1" applyAlignment="1">
      <alignment vertical="center"/>
    </xf>
    <xf numFmtId="0" fontId="13" fillId="0" borderId="37" xfId="0" applyFont="1" applyBorder="1"/>
    <xf numFmtId="0" fontId="13" fillId="0" borderId="38" xfId="0" applyFont="1" applyBorder="1"/>
    <xf numFmtId="0" fontId="7" fillId="7" borderId="39" xfId="0" applyFont="1" applyFill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7" fillId="7" borderId="4" xfId="0" applyFont="1" applyFill="1" applyBorder="1" applyAlignment="1">
      <alignment horizontal="center" vertical="center" wrapText="1"/>
    </xf>
    <xf numFmtId="0" fontId="7" fillId="7" borderId="40" xfId="0" applyFont="1" applyFill="1" applyBorder="1" applyAlignment="1">
      <alignment horizontal="center" vertical="center"/>
    </xf>
    <xf numFmtId="0" fontId="7" fillId="7" borderId="41" xfId="0" applyFont="1" applyFill="1" applyBorder="1" applyAlignment="1">
      <alignment horizontal="center" vertical="center"/>
    </xf>
    <xf numFmtId="0" fontId="7" fillId="7" borderId="42" xfId="0" applyFont="1" applyFill="1" applyBorder="1" applyAlignment="1">
      <alignment horizontal="center" vertical="center"/>
    </xf>
    <xf numFmtId="0" fontId="7" fillId="7" borderId="43" xfId="0" applyFont="1" applyFill="1" applyBorder="1" applyAlignment="1">
      <alignment horizontal="center" vertical="center"/>
    </xf>
    <xf numFmtId="0" fontId="7" fillId="7" borderId="44" xfId="0" applyFont="1" applyFill="1" applyBorder="1" applyAlignment="1">
      <alignment horizontal="center" vertical="center"/>
    </xf>
    <xf numFmtId="0" fontId="7" fillId="7" borderId="45" xfId="0" applyFont="1" applyFill="1" applyBorder="1" applyAlignment="1">
      <alignment horizontal="center" vertical="center"/>
    </xf>
    <xf numFmtId="0" fontId="7" fillId="7" borderId="46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6" fillId="0" borderId="47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4" borderId="48" xfId="0" applyFont="1" applyFill="1" applyBorder="1" applyAlignment="1">
      <alignment horizontal="center" vertical="center"/>
    </xf>
    <xf numFmtId="0" fontId="6" fillId="4" borderId="49" xfId="0" applyFont="1" applyFill="1" applyBorder="1" applyAlignment="1">
      <alignment horizontal="center" vertical="center"/>
    </xf>
    <xf numFmtId="0" fontId="6" fillId="4" borderId="50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60" xfId="0" applyFont="1" applyFill="1" applyBorder="1" applyAlignment="1">
      <alignment horizontal="center" vertical="center"/>
    </xf>
    <xf numFmtId="0" fontId="7" fillId="7" borderId="59" xfId="0" applyFont="1" applyFill="1" applyBorder="1" applyAlignment="1">
      <alignment horizontal="center" vertical="center"/>
    </xf>
    <xf numFmtId="0" fontId="7" fillId="7" borderId="61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1BBDCF6B-46C5-4341-AF78-58BEB1C34579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249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126DCD6A-3DC2-4746-BF40-065889447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24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87086</xdr:colOff>
      <xdr:row>0</xdr:row>
      <xdr:rowOff>204107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4CFEAA2E-9D62-4BCE-ADAF-7484C559C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20410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5F622-C7A1-4B41-8838-F8F31DBBA428}">
  <sheetPr>
    <pageSetUpPr fitToPage="1"/>
  </sheetPr>
  <dimension ref="A1:AO59"/>
  <sheetViews>
    <sheetView tabSelected="1" zoomScale="85" zoomScaleNormal="85" zoomScalePageLayoutView="57" workbookViewId="0">
      <selection activeCell="B14" sqref="B14:E14"/>
    </sheetView>
  </sheetViews>
  <sheetFormatPr defaultColWidth="9.09765625" defaultRowHeight="17.399999999999999"/>
  <cols>
    <col min="2" max="2" width="11.19921875" bestFit="1" customWidth="1"/>
    <col min="3" max="3" width="1" customWidth="1"/>
    <col min="4" max="4" width="4.09765625" customWidth="1"/>
    <col min="5" max="5" width="35.796875" customWidth="1"/>
    <col min="6" max="6" width="3" hidden="1" customWidth="1"/>
    <col min="7" max="7" width="6.8984375" customWidth="1"/>
    <col min="8" max="8" width="14.19921875" bestFit="1" customWidth="1"/>
    <col min="9" max="9" width="1" customWidth="1"/>
    <col min="10" max="10" width="16.09765625" customWidth="1"/>
    <col min="11" max="11" width="9.765625E-2" customWidth="1"/>
    <col min="12" max="12" width="13.09765625" customWidth="1"/>
    <col min="13" max="13" width="1" style="1" customWidth="1"/>
    <col min="14" max="14" width="25.19921875" customWidth="1"/>
    <col min="15" max="15" width="7" customWidth="1"/>
    <col min="16" max="16" width="1" customWidth="1"/>
    <col min="18" max="18" width="3.69921875" customWidth="1"/>
  </cols>
  <sheetData>
    <row r="1" spans="1:41" ht="21.75" customHeight="1">
      <c r="A1" s="2"/>
      <c r="B1" s="60" t="s">
        <v>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5" customHeight="1">
      <c r="A2" s="2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5" customHeight="1">
      <c r="A3" s="2"/>
      <c r="B3" s="2"/>
      <c r="C3" s="2"/>
      <c r="D3" s="2"/>
      <c r="E3" s="2"/>
      <c r="F3" s="2"/>
      <c r="G3" s="2"/>
      <c r="H3" s="11"/>
      <c r="I3" s="11"/>
      <c r="J3" s="11"/>
      <c r="K3" s="11"/>
      <c r="L3" s="2"/>
      <c r="M3" s="5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6.5" customHeight="1">
      <c r="A4" s="3"/>
      <c r="B4" s="3"/>
      <c r="C4" s="3"/>
      <c r="D4" s="3"/>
      <c r="E4" s="3"/>
      <c r="F4" s="2"/>
      <c r="G4" s="6"/>
      <c r="H4" s="6"/>
      <c r="I4" s="6"/>
      <c r="J4" s="6"/>
      <c r="K4" s="6"/>
      <c r="L4" s="6"/>
      <c r="M4" s="7"/>
      <c r="N4" s="6"/>
      <c r="O4" s="6"/>
      <c r="P4" s="6"/>
      <c r="Q4" s="6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21" customHeight="1" thickBot="1">
      <c r="A5" s="3"/>
      <c r="B5" s="4"/>
      <c r="C5" s="4"/>
      <c r="D5" s="4"/>
      <c r="E5" s="4"/>
      <c r="F5" s="5"/>
      <c r="G5" s="7"/>
      <c r="H5" s="8" t="s">
        <v>1</v>
      </c>
      <c r="I5" s="8"/>
      <c r="J5" s="9"/>
      <c r="K5" s="9"/>
      <c r="L5" s="9"/>
      <c r="M5" s="8"/>
      <c r="N5" s="9"/>
      <c r="O5" s="9"/>
      <c r="P5" s="9"/>
      <c r="Q5" s="9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27" customHeight="1" thickTop="1">
      <c r="B6" s="104" t="s">
        <v>2</v>
      </c>
      <c r="C6" s="27"/>
      <c r="D6" s="105">
        <v>26030901</v>
      </c>
      <c r="E6" s="105"/>
      <c r="F6" s="105"/>
      <c r="G6" s="28"/>
      <c r="H6" s="29" t="s">
        <v>3</v>
      </c>
      <c r="I6" s="30"/>
      <c r="J6" s="67" t="s">
        <v>4</v>
      </c>
      <c r="K6" s="67"/>
      <c r="L6" s="29" t="s">
        <v>5</v>
      </c>
      <c r="M6" s="30"/>
      <c r="N6" s="31" t="s">
        <v>6</v>
      </c>
      <c r="O6" s="29" t="s">
        <v>7</v>
      </c>
      <c r="P6" s="30"/>
      <c r="Q6" s="67" t="s">
        <v>8</v>
      </c>
      <c r="R6" s="67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26.25" customHeight="1">
      <c r="A7" s="3"/>
      <c r="B7" s="106" t="s">
        <v>9</v>
      </c>
      <c r="C7" s="34"/>
      <c r="D7" s="107">
        <v>46090</v>
      </c>
      <c r="E7" s="107"/>
      <c r="F7" s="108"/>
      <c r="G7" s="28"/>
      <c r="H7" s="32" t="s">
        <v>10</v>
      </c>
      <c r="I7" s="33"/>
      <c r="J7" s="65" t="s">
        <v>11</v>
      </c>
      <c r="K7" s="65"/>
      <c r="L7" s="32" t="s">
        <v>12</v>
      </c>
      <c r="M7" s="33"/>
      <c r="N7" s="64" t="s">
        <v>13</v>
      </c>
      <c r="O7" s="64"/>
      <c r="P7" s="64"/>
      <c r="Q7" s="64"/>
      <c r="R7" s="64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ht="26.25" customHeight="1">
      <c r="A8" s="3"/>
      <c r="B8" s="106" t="s">
        <v>14</v>
      </c>
      <c r="C8" s="34"/>
      <c r="D8" s="109" t="s">
        <v>39</v>
      </c>
      <c r="E8" s="110"/>
      <c r="F8" s="111"/>
      <c r="G8" s="28"/>
      <c r="H8" s="32" t="s">
        <v>15</v>
      </c>
      <c r="I8" s="33"/>
      <c r="J8" s="65" t="s">
        <v>66</v>
      </c>
      <c r="K8" s="66"/>
      <c r="L8" s="32" t="s">
        <v>16</v>
      </c>
      <c r="M8" s="33"/>
      <c r="N8" s="64" t="s">
        <v>17</v>
      </c>
      <c r="O8" s="64"/>
      <c r="P8" s="64"/>
      <c r="Q8" s="64"/>
      <c r="R8" s="64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ht="27.75" customHeight="1">
      <c r="A9" s="3"/>
      <c r="B9" s="112" t="s">
        <v>18</v>
      </c>
      <c r="C9" s="34"/>
      <c r="D9" s="113" t="s">
        <v>19</v>
      </c>
      <c r="E9" s="113"/>
      <c r="F9" s="113"/>
      <c r="G9" s="28"/>
      <c r="H9" s="35" t="s">
        <v>20</v>
      </c>
      <c r="I9" s="36"/>
      <c r="J9" s="62" t="s">
        <v>67</v>
      </c>
      <c r="K9" s="63"/>
      <c r="L9" s="63"/>
      <c r="M9" s="63"/>
      <c r="N9" s="63"/>
      <c r="O9" s="63"/>
      <c r="P9" s="63"/>
      <c r="Q9" s="63"/>
      <c r="R9" s="63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ht="18" thickBot="1">
      <c r="A10" s="3"/>
      <c r="B10" s="37"/>
      <c r="C10" s="37"/>
      <c r="D10" s="37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ht="50.25" customHeight="1" thickTop="1">
      <c r="A11" s="3"/>
      <c r="B11" s="114" t="s">
        <v>21</v>
      </c>
      <c r="C11" s="114"/>
      <c r="D11" s="114"/>
      <c r="E11" s="61" t="str">
        <f>"일금 "&amp;NUMBERSTRING(K18,1)&amp;" 원정"&amp;TEXT(K18,"(₩#,###)")</f>
        <v>일금 사백사십만 원정(₩4,400,000)</v>
      </c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ht="18" thickBot="1">
      <c r="A12" s="2"/>
      <c r="B12" s="38"/>
      <c r="C12" s="38"/>
      <c r="D12" s="38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ht="29.25" customHeight="1" thickTop="1">
      <c r="A13" s="2"/>
      <c r="B13" s="115" t="s">
        <v>22</v>
      </c>
      <c r="C13" s="116"/>
      <c r="D13" s="116"/>
      <c r="E13" s="117"/>
      <c r="F13" s="118" t="s">
        <v>23</v>
      </c>
      <c r="G13" s="117"/>
      <c r="H13" s="119" t="s">
        <v>24</v>
      </c>
      <c r="I13" s="120" t="s">
        <v>25</v>
      </c>
      <c r="J13" s="121"/>
      <c r="K13" s="122" t="s">
        <v>26</v>
      </c>
      <c r="L13" s="122"/>
      <c r="M13" s="122"/>
      <c r="N13" s="123"/>
      <c r="O13" s="122" t="s">
        <v>27</v>
      </c>
      <c r="P13" s="122"/>
      <c r="Q13" s="122"/>
      <c r="R13" s="122"/>
      <c r="S13" s="10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ht="28.5" customHeight="1">
      <c r="A14" s="2"/>
      <c r="B14" s="78" t="str">
        <f>Sheet2!C3</f>
        <v>옥상 이중복합방수 3.8mm (제 1안)</v>
      </c>
      <c r="C14" s="72"/>
      <c r="D14" s="72"/>
      <c r="E14" s="73"/>
      <c r="F14" s="79" t="s">
        <v>28</v>
      </c>
      <c r="G14" s="73"/>
      <c r="H14" s="40">
        <v>1</v>
      </c>
      <c r="I14" s="80"/>
      <c r="J14" s="81"/>
      <c r="K14" s="82">
        <f>Sheet2!M21</f>
        <v>4490800</v>
      </c>
      <c r="L14" s="72"/>
      <c r="M14" s="72"/>
      <c r="N14" s="73"/>
      <c r="O14" s="83"/>
      <c r="P14" s="84"/>
      <c r="Q14" s="84"/>
      <c r="R14" s="85"/>
      <c r="S14" s="10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ht="25.5" customHeight="1">
      <c r="A15" s="2"/>
      <c r="B15" s="124"/>
      <c r="C15" s="125"/>
      <c r="D15" s="125"/>
      <c r="E15" s="126"/>
      <c r="F15" s="70"/>
      <c r="G15" s="70"/>
      <c r="H15" s="41"/>
      <c r="I15" s="69"/>
      <c r="J15" s="70"/>
      <c r="K15" s="71"/>
      <c r="L15" s="72"/>
      <c r="M15" s="72"/>
      <c r="N15" s="73"/>
      <c r="O15" s="74"/>
      <c r="P15" s="75"/>
      <c r="Q15" s="75"/>
      <c r="R15" s="76"/>
      <c r="S15" s="10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ht="25.5" customHeight="1">
      <c r="A16" s="2"/>
      <c r="B16" s="74"/>
      <c r="C16" s="75"/>
      <c r="D16" s="75"/>
      <c r="E16" s="76"/>
      <c r="F16" s="74"/>
      <c r="G16" s="76"/>
      <c r="H16" s="41"/>
      <c r="I16" s="74"/>
      <c r="J16" s="76"/>
      <c r="K16" s="71"/>
      <c r="L16" s="72"/>
      <c r="M16" s="72"/>
      <c r="N16" s="73"/>
      <c r="O16" s="74"/>
      <c r="P16" s="75"/>
      <c r="Q16" s="75"/>
      <c r="R16" s="76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ht="25.5" customHeight="1">
      <c r="A17" s="2"/>
      <c r="B17" s="74"/>
      <c r="C17" s="75"/>
      <c r="D17" s="75"/>
      <c r="E17" s="127"/>
      <c r="F17" s="70"/>
      <c r="G17" s="70"/>
      <c r="H17" s="41"/>
      <c r="I17" s="69"/>
      <c r="J17" s="70"/>
      <c r="K17" s="71"/>
      <c r="L17" s="72"/>
      <c r="M17" s="72"/>
      <c r="N17" s="73"/>
      <c r="O17" s="74"/>
      <c r="P17" s="75"/>
      <c r="Q17" s="75"/>
      <c r="R17" s="76"/>
      <c r="S17" s="10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ht="27" customHeight="1">
      <c r="A18" s="2"/>
      <c r="B18" s="86" t="s">
        <v>29</v>
      </c>
      <c r="C18" s="87"/>
      <c r="D18" s="87"/>
      <c r="E18" s="128"/>
      <c r="F18" s="129"/>
      <c r="G18" s="130"/>
      <c r="H18" s="42"/>
      <c r="I18" s="86"/>
      <c r="J18" s="87"/>
      <c r="K18" s="88">
        <f>Sheet2!M22</f>
        <v>4400000</v>
      </c>
      <c r="L18" s="72"/>
      <c r="M18" s="72"/>
      <c r="N18" s="73"/>
      <c r="O18" s="86" t="s">
        <v>38</v>
      </c>
      <c r="P18" s="87"/>
      <c r="Q18" s="87"/>
      <c r="R18" s="87"/>
      <c r="S18" s="10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ht="26.25" customHeight="1">
      <c r="A19" s="2"/>
      <c r="B19" s="98" t="s">
        <v>40</v>
      </c>
      <c r="C19" s="99"/>
      <c r="D19" s="89" t="s">
        <v>41</v>
      </c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1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ht="19.5" customHeight="1">
      <c r="A20" s="2"/>
      <c r="B20" s="100"/>
      <c r="C20" s="101"/>
      <c r="D20" s="92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4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ht="21" customHeight="1">
      <c r="A21" s="2"/>
      <c r="B21" s="100"/>
      <c r="C21" s="101"/>
      <c r="D21" s="92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4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 s="2"/>
      <c r="B22" s="102"/>
      <c r="C22" s="103"/>
      <c r="D22" s="95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7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 s="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 s="2"/>
      <c r="B24" s="14"/>
      <c r="C24" s="14"/>
      <c r="D24" s="14"/>
      <c r="E24" s="12" t="s">
        <v>69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 s="2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>
      <c r="A26" s="2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>
      <c r="A27" s="2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>
      <c r="A28" s="2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>
      <c r="A29" s="2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>
      <c r="A30" s="2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>
      <c r="A31" s="2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>
      <c r="A32" s="2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>
      <c r="A33" s="2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>
      <c r="A34" s="2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5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5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5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5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5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5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5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5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5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5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5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5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5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5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5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5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5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5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5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5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5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5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5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5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5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</sheetData>
  <mergeCells count="48">
    <mergeCell ref="B18:E18"/>
    <mergeCell ref="F18:G18"/>
    <mergeCell ref="I18:J18"/>
    <mergeCell ref="K18:N18"/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1:D11"/>
    <mergeCell ref="E11:R11"/>
    <mergeCell ref="E12:R12"/>
    <mergeCell ref="B13:E13"/>
    <mergeCell ref="F13:G13"/>
    <mergeCell ref="I13:J13"/>
    <mergeCell ref="K13:N13"/>
    <mergeCell ref="O13:R13"/>
    <mergeCell ref="D8:F8"/>
    <mergeCell ref="J8:K8"/>
    <mergeCell ref="N8:R8"/>
    <mergeCell ref="D9:F9"/>
    <mergeCell ref="J9:R9"/>
    <mergeCell ref="E10:R10"/>
    <mergeCell ref="B1:R2"/>
    <mergeCell ref="D6:F6"/>
    <mergeCell ref="J6:K6"/>
    <mergeCell ref="Q6:R6"/>
    <mergeCell ref="D7:F7"/>
    <mergeCell ref="J7:K7"/>
    <mergeCell ref="N7:R7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/>
  <dimension ref="A1:R29"/>
  <sheetViews>
    <sheetView topLeftCell="A4" zoomScale="70" zoomScaleNormal="70" workbookViewId="0">
      <selection activeCell="B6" sqref="B5:N6"/>
    </sheetView>
  </sheetViews>
  <sheetFormatPr defaultRowHeight="17.399999999999999"/>
  <cols>
    <col min="2" max="2" width="18.59765625" customWidth="1"/>
    <col min="3" max="3" width="17.59765625" customWidth="1"/>
    <col min="4" max="4" width="7.19921875" customWidth="1"/>
    <col min="5" max="5" width="9.19921875" customWidth="1"/>
    <col min="6" max="6" width="11.3984375" customWidth="1"/>
    <col min="7" max="7" width="13.69921875" customWidth="1"/>
    <col min="8" max="8" width="11.8984375" customWidth="1"/>
    <col min="9" max="9" width="14.19921875" customWidth="1"/>
    <col min="10" max="10" width="11.69921875" customWidth="1"/>
    <col min="11" max="11" width="14.3984375" customWidth="1"/>
    <col min="12" max="12" width="10.69921875" customWidth="1"/>
    <col min="13" max="13" width="17.09765625" customWidth="1"/>
    <col min="14" max="14" width="10.8984375" customWidth="1"/>
    <col min="17" max="17" width="7.8984375" customWidth="1"/>
  </cols>
  <sheetData>
    <row r="1" spans="1:18" ht="30" customHeight="1">
      <c r="A1" s="2"/>
      <c r="D1" s="2"/>
      <c r="E1" s="2"/>
      <c r="F1" s="2"/>
    </row>
    <row r="2" spans="1:18" ht="30" customHeight="1" thickBot="1">
      <c r="A2" s="2"/>
      <c r="D2" s="2"/>
      <c r="E2" s="2"/>
      <c r="F2" s="2"/>
    </row>
    <row r="3" spans="1:18" ht="30" customHeight="1" thickTop="1" thickBot="1">
      <c r="A3" s="2"/>
      <c r="B3" s="131" t="s">
        <v>65</v>
      </c>
      <c r="C3" s="57" t="s">
        <v>68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9"/>
    </row>
    <row r="4" spans="1:18" ht="15" customHeight="1" thickBot="1">
      <c r="A4" s="2"/>
      <c r="D4" s="2"/>
      <c r="E4" s="2"/>
      <c r="F4" s="2"/>
    </row>
    <row r="5" spans="1:18" ht="31.95" customHeight="1" thickTop="1">
      <c r="A5" s="2"/>
      <c r="B5" s="133" t="s">
        <v>22</v>
      </c>
      <c r="C5" s="135" t="s">
        <v>23</v>
      </c>
      <c r="D5" s="135" t="s">
        <v>30</v>
      </c>
      <c r="E5" s="135" t="s">
        <v>24</v>
      </c>
      <c r="F5" s="137" t="s">
        <v>31</v>
      </c>
      <c r="G5" s="139"/>
      <c r="H5" s="132" t="s">
        <v>32</v>
      </c>
      <c r="I5" s="139"/>
      <c r="J5" s="137" t="s">
        <v>33</v>
      </c>
      <c r="K5" s="139"/>
      <c r="L5" s="137" t="s">
        <v>37</v>
      </c>
      <c r="M5" s="139"/>
      <c r="N5" s="132" t="s">
        <v>27</v>
      </c>
    </row>
    <row r="6" spans="1:18" ht="31.35" customHeight="1">
      <c r="A6" s="2"/>
      <c r="B6" s="134"/>
      <c r="C6" s="136"/>
      <c r="D6" s="136"/>
      <c r="E6" s="136"/>
      <c r="F6" s="138" t="s">
        <v>25</v>
      </c>
      <c r="G6" s="140" t="s">
        <v>26</v>
      </c>
      <c r="H6" s="142" t="s">
        <v>25</v>
      </c>
      <c r="I6" s="141" t="s">
        <v>26</v>
      </c>
      <c r="J6" s="138" t="s">
        <v>25</v>
      </c>
      <c r="K6" s="140" t="s">
        <v>26</v>
      </c>
      <c r="L6" s="143" t="s">
        <v>25</v>
      </c>
      <c r="M6" s="140" t="s">
        <v>26</v>
      </c>
      <c r="N6" s="144"/>
      <c r="O6" s="2"/>
      <c r="P6" s="2"/>
      <c r="Q6" s="2"/>
      <c r="R6" s="2"/>
    </row>
    <row r="7" spans="1:18" ht="30" customHeight="1">
      <c r="A7" s="2"/>
      <c r="B7" s="43" t="s">
        <v>42</v>
      </c>
      <c r="C7" s="44"/>
      <c r="D7" s="24" t="s">
        <v>35</v>
      </c>
      <c r="E7" s="16">
        <v>100</v>
      </c>
      <c r="F7" s="17">
        <v>300</v>
      </c>
      <c r="G7" s="16">
        <f>E7*F7</f>
        <v>30000</v>
      </c>
      <c r="H7" s="17">
        <v>1200</v>
      </c>
      <c r="I7" s="16">
        <f>H7*E7</f>
        <v>120000</v>
      </c>
      <c r="J7" s="17"/>
      <c r="K7" s="17"/>
      <c r="L7" s="18">
        <f>J7+H7+F7</f>
        <v>1500</v>
      </c>
      <c r="M7" s="16">
        <f>SUM(K7+I7+G7)</f>
        <v>150000</v>
      </c>
      <c r="N7" s="24"/>
    </row>
    <row r="8" spans="1:18" ht="38.4">
      <c r="A8" s="2"/>
      <c r="B8" s="55" t="s">
        <v>63</v>
      </c>
      <c r="C8" s="44"/>
      <c r="D8" s="56" t="s">
        <v>64</v>
      </c>
      <c r="E8" s="16">
        <v>1</v>
      </c>
      <c r="F8" s="17"/>
      <c r="G8" s="16"/>
      <c r="H8" s="17"/>
      <c r="I8" s="16"/>
      <c r="J8" s="17"/>
      <c r="K8" s="17"/>
      <c r="L8" s="18">
        <f>SUM(K8+I8+G8)</f>
        <v>0</v>
      </c>
      <c r="M8" s="16">
        <f t="shared" ref="M8" si="0">SUM(K8+I8+G8)</f>
        <v>0</v>
      </c>
      <c r="N8" s="24"/>
    </row>
    <row r="9" spans="1:18" ht="30" customHeight="1">
      <c r="A9" s="2"/>
      <c r="B9" s="45" t="s">
        <v>43</v>
      </c>
      <c r="C9" s="19"/>
      <c r="D9" s="24" t="s">
        <v>35</v>
      </c>
      <c r="E9" s="16">
        <v>100</v>
      </c>
      <c r="F9" s="17">
        <v>700</v>
      </c>
      <c r="G9" s="16">
        <f t="shared" ref="G9:G12" si="1">E9*F9</f>
        <v>70000</v>
      </c>
      <c r="H9" s="17">
        <v>1300</v>
      </c>
      <c r="I9" s="16">
        <f t="shared" ref="I9:I12" si="2">H9*E9</f>
        <v>130000</v>
      </c>
      <c r="J9" s="17"/>
      <c r="K9" s="17"/>
      <c r="L9" s="18">
        <f t="shared" ref="L9:L12" si="3">J9+H9+F9</f>
        <v>2000</v>
      </c>
      <c r="M9" s="16">
        <f t="shared" ref="M9:M12" si="4">SUM(K9+I9+G9)</f>
        <v>200000</v>
      </c>
      <c r="N9" s="24"/>
    </row>
    <row r="10" spans="1:18" ht="30" customHeight="1">
      <c r="A10" s="2"/>
      <c r="B10" s="46" t="s">
        <v>44</v>
      </c>
      <c r="C10" s="19" t="s">
        <v>36</v>
      </c>
      <c r="D10" s="24" t="s">
        <v>35</v>
      </c>
      <c r="E10" s="16">
        <v>100</v>
      </c>
      <c r="F10" s="17">
        <v>9500</v>
      </c>
      <c r="G10" s="16">
        <f t="shared" si="1"/>
        <v>950000</v>
      </c>
      <c r="H10" s="17">
        <v>7000</v>
      </c>
      <c r="I10" s="16">
        <f t="shared" si="2"/>
        <v>700000</v>
      </c>
      <c r="J10" s="17">
        <v>500</v>
      </c>
      <c r="K10" s="16">
        <f>J10*E10</f>
        <v>50000</v>
      </c>
      <c r="L10" s="18">
        <f t="shared" si="3"/>
        <v>17000</v>
      </c>
      <c r="M10" s="16">
        <f t="shared" si="4"/>
        <v>1700000</v>
      </c>
      <c r="N10" s="24"/>
    </row>
    <row r="11" spans="1:18" ht="38.4">
      <c r="A11" s="2"/>
      <c r="B11" s="46" t="s">
        <v>45</v>
      </c>
      <c r="C11" s="19"/>
      <c r="D11" s="24" t="s">
        <v>35</v>
      </c>
      <c r="E11" s="16">
        <v>100</v>
      </c>
      <c r="F11" s="17">
        <v>1300</v>
      </c>
      <c r="G11" s="16">
        <f t="shared" si="1"/>
        <v>130000</v>
      </c>
      <c r="H11" s="17">
        <v>1700</v>
      </c>
      <c r="I11" s="16">
        <f t="shared" si="2"/>
        <v>170000</v>
      </c>
      <c r="J11" s="17"/>
      <c r="K11" s="17"/>
      <c r="L11" s="18">
        <f t="shared" si="3"/>
        <v>3000</v>
      </c>
      <c r="M11" s="16">
        <f t="shared" si="4"/>
        <v>300000</v>
      </c>
      <c r="N11" s="24"/>
    </row>
    <row r="12" spans="1:18" ht="30" customHeight="1">
      <c r="A12" s="2"/>
      <c r="B12" s="45" t="s">
        <v>46</v>
      </c>
      <c r="C12" s="19" t="s">
        <v>47</v>
      </c>
      <c r="D12" s="24" t="s">
        <v>35</v>
      </c>
      <c r="E12" s="16">
        <v>100</v>
      </c>
      <c r="F12" s="17">
        <v>7500</v>
      </c>
      <c r="G12" s="16">
        <f t="shared" si="1"/>
        <v>750000</v>
      </c>
      <c r="H12" s="17">
        <v>4500</v>
      </c>
      <c r="I12" s="16">
        <f t="shared" si="2"/>
        <v>450000</v>
      </c>
      <c r="J12" s="17">
        <v>500</v>
      </c>
      <c r="K12" s="16">
        <f>J12*E12</f>
        <v>50000</v>
      </c>
      <c r="L12" s="18">
        <f t="shared" si="3"/>
        <v>12500</v>
      </c>
      <c r="M12" s="16">
        <f t="shared" si="4"/>
        <v>1250000</v>
      </c>
      <c r="N12" s="24"/>
    </row>
    <row r="13" spans="1:18" ht="30" customHeight="1">
      <c r="B13" s="45" t="s">
        <v>48</v>
      </c>
      <c r="C13" s="19" t="s">
        <v>49</v>
      </c>
      <c r="D13" s="24" t="s">
        <v>35</v>
      </c>
      <c r="E13" s="16"/>
      <c r="F13" s="17">
        <v>5000</v>
      </c>
      <c r="G13" s="16">
        <f t="shared" ref="G13:G14" si="5">E13*F13</f>
        <v>0</v>
      </c>
      <c r="H13" s="17">
        <v>4300</v>
      </c>
      <c r="I13" s="16">
        <f t="shared" ref="I13:I14" si="6">H13*E13</f>
        <v>0</v>
      </c>
      <c r="J13" s="17">
        <v>500</v>
      </c>
      <c r="K13" s="16">
        <f>J13*E13</f>
        <v>0</v>
      </c>
      <c r="L13" s="18">
        <f t="shared" ref="L13:L14" si="7">J13+H13+F13</f>
        <v>9800</v>
      </c>
      <c r="M13" s="16">
        <f t="shared" ref="M13:M15" si="8">SUM(K13+I13+G13)</f>
        <v>0</v>
      </c>
      <c r="N13" s="24"/>
    </row>
    <row r="14" spans="1:18" ht="30" customHeight="1">
      <c r="B14" s="45" t="s">
        <v>50</v>
      </c>
      <c r="C14" s="19" t="s">
        <v>51</v>
      </c>
      <c r="D14" s="24" t="s">
        <v>35</v>
      </c>
      <c r="E14" s="16">
        <v>100</v>
      </c>
      <c r="F14" s="17">
        <v>2200</v>
      </c>
      <c r="G14" s="16">
        <f t="shared" si="5"/>
        <v>220000</v>
      </c>
      <c r="H14" s="17">
        <v>1800</v>
      </c>
      <c r="I14" s="16">
        <f t="shared" si="6"/>
        <v>180000</v>
      </c>
      <c r="J14" s="17"/>
      <c r="K14" s="17"/>
      <c r="L14" s="18">
        <f t="shared" si="7"/>
        <v>4000</v>
      </c>
      <c r="M14" s="16">
        <f t="shared" si="8"/>
        <v>400000</v>
      </c>
      <c r="N14" s="24"/>
    </row>
    <row r="15" spans="1:18" ht="30" customHeight="1">
      <c r="B15" s="45" t="s">
        <v>52</v>
      </c>
      <c r="C15" s="19"/>
      <c r="D15" s="24" t="s">
        <v>53</v>
      </c>
      <c r="E15" s="16">
        <v>1</v>
      </c>
      <c r="F15" s="16"/>
      <c r="G15" s="16"/>
      <c r="H15" s="16"/>
      <c r="I15" s="16"/>
      <c r="J15" s="16"/>
      <c r="K15" s="16">
        <v>120000</v>
      </c>
      <c r="L15" s="18">
        <f>SUM(K15+I15+G15)</f>
        <v>120000</v>
      </c>
      <c r="M15" s="16">
        <f t="shared" si="8"/>
        <v>120000</v>
      </c>
      <c r="N15" s="24"/>
    </row>
    <row r="16" spans="1:18" ht="30" customHeight="1">
      <c r="B16" s="45" t="s">
        <v>54</v>
      </c>
      <c r="C16" s="19"/>
      <c r="D16" s="24" t="s">
        <v>55</v>
      </c>
      <c r="E16" s="16">
        <v>1</v>
      </c>
      <c r="F16" s="16"/>
      <c r="G16" s="16"/>
      <c r="H16" s="16"/>
      <c r="I16" s="16"/>
      <c r="J16" s="16"/>
      <c r="K16" s="16"/>
      <c r="L16" s="18">
        <f>SUM(K16+I16+G16)</f>
        <v>0</v>
      </c>
      <c r="M16" s="16">
        <f t="shared" ref="M16:M17" si="9">SUM(K16+I16+G16)</f>
        <v>0</v>
      </c>
      <c r="N16" s="24"/>
    </row>
    <row r="17" spans="2:14" ht="30" customHeight="1">
      <c r="B17" s="45" t="s">
        <v>56</v>
      </c>
      <c r="C17" s="19"/>
      <c r="D17" s="24" t="s">
        <v>55</v>
      </c>
      <c r="E17" s="16">
        <v>1</v>
      </c>
      <c r="F17" s="16"/>
      <c r="G17" s="16"/>
      <c r="H17" s="16"/>
      <c r="I17" s="16"/>
      <c r="J17" s="16"/>
      <c r="K17" s="16"/>
      <c r="L17" s="18">
        <f>SUM(K17+I17+G17)</f>
        <v>0</v>
      </c>
      <c r="M17" s="16">
        <f t="shared" si="9"/>
        <v>0</v>
      </c>
      <c r="N17" s="24"/>
    </row>
    <row r="18" spans="2:14" ht="30" customHeight="1">
      <c r="B18" s="47" t="s">
        <v>57</v>
      </c>
      <c r="C18" s="20"/>
      <c r="D18" s="21"/>
      <c r="E18" s="15"/>
      <c r="F18" s="15"/>
      <c r="G18" s="22">
        <f>SUM(G7:G17)</f>
        <v>2150000</v>
      </c>
      <c r="H18" s="48"/>
      <c r="I18" s="22">
        <f>SUM(I7:I17)</f>
        <v>1750000</v>
      </c>
      <c r="J18" s="15"/>
      <c r="K18" s="22">
        <f>SUM(K7:K17)</f>
        <v>220000</v>
      </c>
      <c r="L18" s="15"/>
      <c r="M18" s="15">
        <f>SUM(M7:M17)</f>
        <v>4120000</v>
      </c>
      <c r="N18" s="23"/>
    </row>
    <row r="19" spans="2:14" ht="38.4">
      <c r="B19" s="49" t="s">
        <v>58</v>
      </c>
      <c r="C19" s="19"/>
      <c r="D19" s="24" t="s">
        <v>34</v>
      </c>
      <c r="E19" s="16">
        <v>3</v>
      </c>
      <c r="F19" s="16"/>
      <c r="G19" s="16"/>
      <c r="H19" s="16"/>
      <c r="I19" s="16"/>
      <c r="J19" s="16"/>
      <c r="K19" s="16"/>
      <c r="L19" s="18"/>
      <c r="M19" s="16">
        <f>M18*0.03</f>
        <v>123600</v>
      </c>
      <c r="N19" s="24"/>
    </row>
    <row r="20" spans="2:14" ht="30" customHeight="1">
      <c r="B20" s="39" t="s">
        <v>59</v>
      </c>
      <c r="C20" s="19"/>
      <c r="D20" s="24" t="s">
        <v>34</v>
      </c>
      <c r="E20" s="16">
        <v>6</v>
      </c>
      <c r="F20" s="16"/>
      <c r="G20" s="16"/>
      <c r="H20" s="16"/>
      <c r="I20" s="16"/>
      <c r="J20" s="16"/>
      <c r="K20" s="16"/>
      <c r="L20" s="18"/>
      <c r="M20" s="16">
        <f>M18*0.06</f>
        <v>247200</v>
      </c>
      <c r="N20" s="24"/>
    </row>
    <row r="21" spans="2:14" ht="30" customHeight="1">
      <c r="B21" s="50" t="s">
        <v>60</v>
      </c>
      <c r="C21" s="51"/>
      <c r="D21" s="23"/>
      <c r="E21" s="23"/>
      <c r="F21" s="25"/>
      <c r="G21" s="22"/>
      <c r="H21" s="23"/>
      <c r="I21" s="22"/>
      <c r="J21" s="23"/>
      <c r="K21" s="22"/>
      <c r="L21" s="23"/>
      <c r="M21" s="22">
        <f>SUM(M18:M20)</f>
        <v>4490800</v>
      </c>
      <c r="N21" s="23"/>
    </row>
    <row r="22" spans="2:14" ht="30" customHeight="1">
      <c r="B22" s="52" t="s">
        <v>61</v>
      </c>
      <c r="C22" s="53"/>
      <c r="D22" s="23"/>
      <c r="E22" s="23"/>
      <c r="F22" s="25"/>
      <c r="G22" s="23"/>
      <c r="H22" s="23"/>
      <c r="I22" s="23"/>
      <c r="J22" s="23"/>
      <c r="K22" s="23"/>
      <c r="L22" s="23"/>
      <c r="M22" s="26">
        <f>FLOOR(M21, 100000)</f>
        <v>4400000</v>
      </c>
      <c r="N22" s="54" t="s">
        <v>62</v>
      </c>
    </row>
    <row r="23" spans="2:14" ht="27" customHeight="1"/>
    <row r="25" spans="2:14" ht="28.35" customHeight="1"/>
    <row r="26" spans="2:14" ht="24" customHeight="1"/>
    <row r="27" spans="2:14" ht="25.95" customHeight="1"/>
    <row r="29" spans="2:14" ht="24" customHeight="1"/>
  </sheetData>
  <mergeCells count="1">
    <mergeCell ref="C3:N3"/>
  </mergeCells>
  <phoneticPr fontId="5" type="noConversion"/>
  <pageMargins left="0.7" right="0.7" top="0.75" bottom="0.75" header="0.3" footer="0.3"/>
  <pageSetup paperSize="9" scale="7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7.399999999999999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박민우</dc:creator>
  <cp:keywords/>
  <dc:description/>
  <cp:lastModifiedBy>gksdnwjd222@gmail.com</cp:lastModifiedBy>
  <cp:revision/>
  <cp:lastPrinted>2026-03-09T03:04:31Z</cp:lastPrinted>
  <dcterms:created xsi:type="dcterms:W3CDTF">2025-04-06T12:41:57Z</dcterms:created>
  <dcterms:modified xsi:type="dcterms:W3CDTF">2026-03-09T03:04:56Z</dcterms:modified>
  <cp:category/>
  <cp:contentStatus/>
</cp:coreProperties>
</file>