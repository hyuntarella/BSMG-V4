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255056FE-9754-4EC9-87F1-9B3289EC790A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B14" i="5"/>
  <c r="M8" i="3"/>
  <c r="L8" i="3"/>
  <c r="M16" i="3"/>
  <c r="L16" i="3"/>
  <c r="M15" i="3"/>
  <c r="L15" i="3"/>
  <c r="L14" i="3"/>
  <c r="M14" i="3"/>
  <c r="M12" i="3" l="1"/>
  <c r="L12" i="3"/>
  <c r="L13" i="3"/>
  <c r="I13" i="3"/>
  <c r="G13" i="3"/>
  <c r="G9" i="3"/>
  <c r="I9" i="3"/>
  <c r="L9" i="3"/>
  <c r="L7" i="3"/>
  <c r="I7" i="3"/>
  <c r="G7" i="3"/>
  <c r="M9" i="3" l="1"/>
  <c r="M13" i="3"/>
  <c r="M7" i="3"/>
  <c r="L11" i="3"/>
  <c r="K11" i="3"/>
  <c r="I11" i="3"/>
  <c r="G11" i="3"/>
  <c r="L10" i="3"/>
  <c r="K10" i="3"/>
  <c r="I10" i="3"/>
  <c r="G10" i="3"/>
  <c r="M11" i="3" l="1"/>
  <c r="M10" i="3"/>
  <c r="G18" i="3"/>
  <c r="I18" i="3"/>
  <c r="M18" i="3"/>
  <c r="K18" i="3"/>
  <c r="M20" i="3" l="1"/>
  <c r="M19" i="3"/>
  <c r="M21" i="3" l="1"/>
  <c r="M22" i="3" l="1"/>
  <c r="K18" i="5" s="1"/>
  <c r="E11" i="5" s="1"/>
  <c r="K14" i="5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<sst xmlns="http://schemas.openxmlformats.org/spreadsheetml/2006/main" count="90" uniqueCount="71">
  <si>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</si>
  <si>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</si>
  <si>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</si>
  <si>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</si>
  <si>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</si>
  <si>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</si>
  <si>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</si>
  <si>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</si>
  <si>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</si>
  <si>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</si>
  <si>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</si>
  <si>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</si>
  <si>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</si>
  <si>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</si>
  <si>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</si>
  <si>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</si>
  <si>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</si>
  <si>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</si>
  <si>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</si>
  <si>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</si>
  <si>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</si>
  <si>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</si>
  <si>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</si>
  <si>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</si>
  <si>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</si>
  <si>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</si>
  <si>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</si>
  <si>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</si>
  <si>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</si>
  <si>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</si>
  <si>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</si>
  <si>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</si>
  <si>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</si>
  <si>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</si>
  <si>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</si>
  <si>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</rPr>
      <t xml:space="preserve">)
</t>
    </r>
    <r>
      <rPr>
        <sz val="12"/>
        <color rgb="FF000000"/>
        <rFont val="Arial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</si>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</sst>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</font>
    <font>
      <b/>
      <sz val="12"/>
      <color rgb="FFFF0000"/>
      <name val="맑은 고딕"/>
      <family val="3"/>
      <charset val="129"/>
    </font>
    <font>
      <sz val="12"/>
      <color rgb="FF000000"/>
      <name val="Arial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59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</borders>
  <cellStyleXfs count="2">
    <xf numFmtId="0" fontId="0" fillId="0" borderId="0"/>
    <xf numFmtId="0" fontId="23" fillId="0" borderId="0"/>
  </cellStyleXfs>
  <cellXfs count="148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ADE0D7C3-EEE5-4B96-AC9E-5A521B4E5529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66EDE295-DB9A-4FD0-93F4-7898585F9E5C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5EB734DD-59D0-4FB2-AAB5-98EC08A9C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544E9092-3AAD-45DD-968F-158469082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BA6A-50FC-4989-BCDD-E26A9914429D}">
  <sheetPr>
    <pageSetUpPr fitToPage="1"/>
  </sheetPr>
  <dimension ref="A1:AO59"/>
  <sheetViews>
    <sheetView topLeftCell="A13" zoomScale="85" zoomScaleNormal="85" zoomScalePageLayoutView="57" workbookViewId="0">
      <selection activeCell="I16" sqref="I16:J16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75">
        <v>26030901</v>
      </c>
      <c r="E6" s="75"/>
      <c r="F6" s="75"/>
      <c r="G6" s="42"/>
      <c r="H6" s="43" t="s">
        <v>3</v>
      </c>
      <c r="I6" s="44"/>
      <c r="J6" s="76" t="s">
        <v>4</v>
      </c>
      <c r="K6" s="76"/>
      <c r="L6" s="43" t="s">
        <v>5</v>
      </c>
      <c r="M6" s="44"/>
      <c r="N6" s="45" t="s">
        <v>6</v>
      </c>
      <c r="O6" s="43" t="s">
        <v>7</v>
      </c>
      <c r="P6" s="44"/>
      <c r="Q6" s="76" t="s">
        <v>8</v>
      </c>
      <c r="R6" s="76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77">
        <v>46090</v>
      </c>
      <c r="E7" s="77"/>
      <c r="F7" s="78"/>
      <c r="G7" s="42"/>
      <c r="H7" s="48" t="s">
        <v>10</v>
      </c>
      <c r="I7" s="49"/>
      <c r="J7" s="79" t="s">
        <v>11</v>
      </c>
      <c r="K7" s="79"/>
      <c r="L7" s="48" t="s">
        <v>12</v>
      </c>
      <c r="M7" s="49"/>
      <c r="N7" s="80" t="s">
        <v>13</v>
      </c>
      <c r="O7" s="80"/>
      <c r="P7" s="80"/>
      <c r="Q7" s="80"/>
      <c r="R7" s="8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81" t="s">
        <v>15</v>
      </c>
      <c r="E8" s="82"/>
      <c r="F8" s="83"/>
      <c r="G8" s="42"/>
      <c r="H8" s="48" t="s">
        <v>16</v>
      </c>
      <c r="I8" s="49"/>
      <c r="J8" s="79" t="s">
        <v>17</v>
      </c>
      <c r="K8" s="84"/>
      <c r="L8" s="48" t="s">
        <v>18</v>
      </c>
      <c r="M8" s="49"/>
      <c r="N8" s="80" t="s">
        <v>19</v>
      </c>
      <c r="O8" s="80"/>
      <c r="P8" s="80"/>
      <c r="Q8" s="80"/>
      <c r="R8" s="8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85" t="s">
        <v>21</v>
      </c>
      <c r="E9" s="85"/>
      <c r="F9" s="85"/>
      <c r="G9" s="42"/>
      <c r="H9" s="51" t="s">
        <v>22</v>
      </c>
      <c r="I9" s="52"/>
      <c r="J9" s="86" t="s">
        <v>23</v>
      </c>
      <c r="K9" s="87"/>
      <c r="L9" s="87"/>
      <c r="M9" s="87"/>
      <c r="N9" s="87"/>
      <c r="O9" s="87"/>
      <c r="P9" s="87"/>
      <c r="Q9" s="87"/>
      <c r="R9" s="87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88" t="s">
        <v>24</v>
      </c>
      <c r="C11" s="88"/>
      <c r="D11" s="88"/>
      <c r="E11" s="89" t="str">
        <f>"일금 "&amp;NUMBERSTRING(K18,1)&amp;" 원정"&amp;TEXT(K18,"(₩#,###)")</f>
        <v>일금 삼백구십만 원정(₩3,900,000)</v>
      </c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91" t="s">
        <v>25</v>
      </c>
      <c r="C13" s="92"/>
      <c r="D13" s="92"/>
      <c r="E13" s="93"/>
      <c r="F13" s="94" t="s">
        <v>26</v>
      </c>
      <c r="G13" s="93"/>
      <c r="H13" s="55" t="s">
        <v>27</v>
      </c>
      <c r="I13" s="95" t="s">
        <v>28</v>
      </c>
      <c r="J13" s="96"/>
      <c r="K13" s="97" t="s">
        <v>29</v>
      </c>
      <c r="L13" s="97"/>
      <c r="M13" s="97"/>
      <c r="N13" s="98"/>
      <c r="O13" s="97" t="s">
        <v>30</v>
      </c>
      <c r="P13" s="97"/>
      <c r="Q13" s="97"/>
      <c r="R13" s="97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10" t="str">
        <f>Sheet2!C3</f>
        <v>옥상 우레탄방수 3mm (제 2안)</v>
      </c>
      <c r="C14" s="111"/>
      <c r="D14" s="111"/>
      <c r="E14" s="112"/>
      <c r="F14" s="113" t="s">
        <v>31</v>
      </c>
      <c r="G14" s="106"/>
      <c r="H14" s="57">
        <v>1</v>
      </c>
      <c r="I14" s="114"/>
      <c r="J14" s="115"/>
      <c r="K14" s="116">
        <f>Sheet2!M21</f>
        <v>3945800</v>
      </c>
      <c r="L14" s="111"/>
      <c r="M14" s="111"/>
      <c r="N14" s="112"/>
      <c r="O14" s="117"/>
      <c r="P14" s="118"/>
      <c r="Q14" s="118"/>
      <c r="R14" s="119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99"/>
      <c r="C15" s="100"/>
      <c r="D15" s="100"/>
      <c r="E15" s="101"/>
      <c r="F15" s="102"/>
      <c r="G15" s="102"/>
      <c r="H15" s="58"/>
      <c r="I15" s="103"/>
      <c r="J15" s="102"/>
      <c r="K15" s="104"/>
      <c r="L15" s="105"/>
      <c r="M15" s="105"/>
      <c r="N15" s="106"/>
      <c r="O15" s="107"/>
      <c r="P15" s="108"/>
      <c r="Q15" s="108"/>
      <c r="R15" s="109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107"/>
      <c r="C16" s="108"/>
      <c r="D16" s="108"/>
      <c r="E16" s="109"/>
      <c r="F16" s="107"/>
      <c r="G16" s="109"/>
      <c r="H16" s="58"/>
      <c r="I16" s="107"/>
      <c r="J16" s="109"/>
      <c r="K16" s="104"/>
      <c r="L16" s="105"/>
      <c r="M16" s="105"/>
      <c r="N16" s="106"/>
      <c r="O16" s="107"/>
      <c r="P16" s="108"/>
      <c r="Q16" s="108"/>
      <c r="R16" s="109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107"/>
      <c r="C17" s="108"/>
      <c r="D17" s="108"/>
      <c r="E17" s="135"/>
      <c r="F17" s="102"/>
      <c r="G17" s="102"/>
      <c r="H17" s="58"/>
      <c r="I17" s="103"/>
      <c r="J17" s="102"/>
      <c r="K17" s="104"/>
      <c r="L17" s="105"/>
      <c r="M17" s="105"/>
      <c r="N17" s="106"/>
      <c r="O17" s="107"/>
      <c r="P17" s="108"/>
      <c r="Q17" s="108"/>
      <c r="R17" s="109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136" t="s">
        <v>32</v>
      </c>
      <c r="C18" s="137"/>
      <c r="D18" s="137"/>
      <c r="E18" s="138"/>
      <c r="F18" s="139"/>
      <c r="G18" s="140"/>
      <c r="H18" s="59"/>
      <c r="I18" s="136"/>
      <c r="J18" s="137"/>
      <c r="K18" s="141">
        <f>Sheet2!M22</f>
        <v>3900000</v>
      </c>
      <c r="L18" s="111"/>
      <c r="M18" s="111"/>
      <c r="N18" s="112"/>
      <c r="O18" s="136" t="s">
        <v>33</v>
      </c>
      <c r="P18" s="137"/>
      <c r="Q18" s="137"/>
      <c r="R18" s="137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120" t="s">
        <v>34</v>
      </c>
      <c r="C19" s="121"/>
      <c r="D19" s="126" t="s">
        <v>35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8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122"/>
      <c r="C20" s="123"/>
      <c r="D20" s="129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1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122"/>
      <c r="C21" s="123"/>
      <c r="D21" s="129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1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124"/>
      <c r="C22" s="125"/>
      <c r="D22" s="132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4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zoomScale="70" zoomScaleNormal="70" workbookViewId="0">
      <selection activeCell="A15" sqref="A15:XFD15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144" t="s">
        <v>38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6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142" t="s">
        <v>40</v>
      </c>
      <c r="G5" s="143"/>
      <c r="H5" s="142" t="s">
        <v>41</v>
      </c>
      <c r="I5" s="143"/>
      <c r="J5" s="142" t="s">
        <v>42</v>
      </c>
      <c r="K5" s="143"/>
      <c r="L5" s="142" t="s">
        <v>43</v>
      </c>
      <c r="M5" s="143"/>
      <c r="N5" s="72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8" t="s">
        <v>29</v>
      </c>
      <c r="H6" s="69" t="s">
        <v>28</v>
      </c>
      <c r="I6" s="68" t="s">
        <v>29</v>
      </c>
      <c r="J6" s="69" t="s">
        <v>28</v>
      </c>
      <c r="K6" s="68" t="s">
        <v>29</v>
      </c>
      <c r="L6" s="70" t="s">
        <v>28</v>
      </c>
      <c r="M6" s="68" t="s">
        <v>29</v>
      </c>
      <c r="N6" s="71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700</v>
      </c>
      <c r="G7" s="3">
        <f>E7*F7</f>
        <v>70000</v>
      </c>
      <c r="H7" s="4">
        <v>1500</v>
      </c>
      <c r="I7" s="3">
        <f>H7*E7</f>
        <v>150000</v>
      </c>
      <c r="J7" s="4"/>
      <c r="K7" s="4"/>
      <c r="L7" s="5">
        <f>J7+H7+F7</f>
        <v>2200</v>
      </c>
      <c r="M7" s="3">
        <f>SUM(K7+I7+G7)</f>
        <v>220000</v>
      </c>
      <c r="N7" s="12"/>
    </row>
    <row r="8" spans="1:18" ht="34.5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7.9" customHeight="1">
      <c r="A9" s="1"/>
      <c r="B9" s="15" t="s">
        <v>49</v>
      </c>
      <c r="C9" s="147" t="s">
        <v>70</v>
      </c>
      <c r="D9" s="12" t="s">
        <v>46</v>
      </c>
      <c r="E9" s="3">
        <v>100</v>
      </c>
      <c r="F9" s="4">
        <v>2200</v>
      </c>
      <c r="G9" s="3">
        <f t="shared" ref="G9:G11" si="1">E9*F9</f>
        <v>220000</v>
      </c>
      <c r="H9" s="4">
        <v>1800</v>
      </c>
      <c r="I9" s="3">
        <f t="shared" ref="I9:I11" si="2">H9*E9</f>
        <v>180000</v>
      </c>
      <c r="J9" s="4"/>
      <c r="K9" s="4"/>
      <c r="L9" s="5">
        <f t="shared" ref="L9:L12" si="3">J9+H9+F9</f>
        <v>4000</v>
      </c>
      <c r="M9" s="3">
        <f t="shared" ref="M9:M12" si="4">SUM(K9+I9+G9)</f>
        <v>400000</v>
      </c>
      <c r="N9" s="12"/>
    </row>
    <row r="10" spans="1:18" ht="30" customHeight="1">
      <c r="A10" s="1"/>
      <c r="B10" s="15" t="s">
        <v>50</v>
      </c>
      <c r="C10" s="6" t="s">
        <v>51</v>
      </c>
      <c r="D10" s="12" t="s">
        <v>46</v>
      </c>
      <c r="E10" s="3">
        <v>100</v>
      </c>
      <c r="F10" s="4">
        <v>5000</v>
      </c>
      <c r="G10" s="3">
        <f t="shared" si="1"/>
        <v>500000</v>
      </c>
      <c r="H10" s="4">
        <v>3500</v>
      </c>
      <c r="I10" s="3">
        <f t="shared" si="2"/>
        <v>350000</v>
      </c>
      <c r="J10" s="4">
        <v>300</v>
      </c>
      <c r="K10" s="3">
        <f>J10*E10</f>
        <v>30000</v>
      </c>
      <c r="L10" s="5">
        <f t="shared" si="3"/>
        <v>8800</v>
      </c>
      <c r="M10" s="3">
        <f t="shared" si="4"/>
        <v>880000</v>
      </c>
      <c r="N10" s="12"/>
    </row>
    <row r="11" spans="1:18" ht="30" customHeight="1">
      <c r="A11" s="1"/>
      <c r="B11" s="16" t="s">
        <v>52</v>
      </c>
      <c r="C11" s="6" t="s">
        <v>53</v>
      </c>
      <c r="D11" s="12" t="s">
        <v>46</v>
      </c>
      <c r="E11" s="3">
        <v>100</v>
      </c>
      <c r="F11" s="4">
        <v>10000</v>
      </c>
      <c r="G11" s="3">
        <f t="shared" si="1"/>
        <v>1000000</v>
      </c>
      <c r="H11" s="4">
        <v>5500</v>
      </c>
      <c r="I11" s="3">
        <f t="shared" si="2"/>
        <v>550000</v>
      </c>
      <c r="J11" s="4">
        <v>500</v>
      </c>
      <c r="K11" s="3">
        <f>J11*E11</f>
        <v>50000</v>
      </c>
      <c r="L11" s="5">
        <f t="shared" si="3"/>
        <v>16000</v>
      </c>
      <c r="M11" s="3">
        <f t="shared" si="4"/>
        <v>1600000</v>
      </c>
      <c r="N11" s="12"/>
    </row>
    <row r="12" spans="1:18" ht="30" customHeight="1">
      <c r="A12" s="1"/>
      <c r="B12" s="16" t="s">
        <v>54</v>
      </c>
      <c r="C12" s="6" t="s">
        <v>55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2"/>
    </row>
    <row r="13" spans="1:18" ht="30" customHeight="1">
      <c r="B13" s="16" t="s">
        <v>56</v>
      </c>
      <c r="C13" s="6" t="s">
        <v>57</v>
      </c>
      <c r="D13" s="12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4" si="8">SUM(K13+I13+G13)</f>
        <v>400000</v>
      </c>
      <c r="N13" s="12"/>
    </row>
    <row r="14" spans="1:18" ht="30" customHeight="1">
      <c r="B14" s="16" t="s">
        <v>58</v>
      </c>
      <c r="C14" s="6"/>
      <c r="D14" s="12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2"/>
    </row>
    <row r="15" spans="1:18" ht="30" customHeight="1">
      <c r="B15" s="16" t="s">
        <v>60</v>
      </c>
      <c r="C15" s="6"/>
      <c r="D15" s="12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ref="M15:M16" si="9">SUM(K15+I15+G15)</f>
        <v>0</v>
      </c>
      <c r="N15" s="12"/>
    </row>
    <row r="16" spans="1:18" ht="30" customHeight="1">
      <c r="B16" s="16" t="s">
        <v>62</v>
      </c>
      <c r="C16" s="6"/>
      <c r="D16" s="12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9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63</v>
      </c>
      <c r="C18" s="8"/>
      <c r="D18" s="9"/>
      <c r="E18" s="2"/>
      <c r="F18" s="2"/>
      <c r="G18" s="10">
        <f>SUM(G7:G17)</f>
        <v>2010000</v>
      </c>
      <c r="H18" s="19"/>
      <c r="I18" s="10">
        <f>SUM(I7:I17)</f>
        <v>1410000</v>
      </c>
      <c r="J18" s="2"/>
      <c r="K18" s="10">
        <f>SUM(K7:K17)</f>
        <v>200000</v>
      </c>
      <c r="L18" s="2"/>
      <c r="M18" s="2">
        <f>SUM(M7:M17)</f>
        <v>3620000</v>
      </c>
      <c r="N18" s="11"/>
    </row>
    <row r="19" spans="2:14" ht="34.5">
      <c r="B19" s="20" t="s">
        <v>64</v>
      </c>
      <c r="C19" s="6"/>
      <c r="D19" s="12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108600</v>
      </c>
      <c r="N19" s="12"/>
    </row>
    <row r="20" spans="2:14" ht="30" customHeight="1">
      <c r="B20" s="21" t="s">
        <v>66</v>
      </c>
      <c r="C20" s="6"/>
      <c r="D20" s="12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217200</v>
      </c>
      <c r="N20" s="12"/>
    </row>
    <row r="21" spans="2:14" ht="30" customHeight="1">
      <c r="B21" s="22" t="s">
        <v>67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3945800</v>
      </c>
      <c r="N21" s="11"/>
    </row>
    <row r="22" spans="2:14" ht="30" customHeight="1">
      <c r="B22" s="24" t="s">
        <v>68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3900000</v>
      </c>
      <c r="N22" s="26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2026-03-16T06:03:29Z</dcterms:modified>
  <cp:category/>
  <cp:contentStatus/>
</cp:coreProperties>
</file>