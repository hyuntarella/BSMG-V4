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27" documentId="8_{F1DAC651-1A8E-4734-B265-2F62CF544220}" xr6:coauthVersionLast="47" xr6:coauthVersionMax="47" xr10:uidLastSave="{3CEDAA9D-223A-48B3-B495-1323E264CF6F}"/>
  <bookViews>
    <workbookView xWindow="-108" yWindow="-108" windowWidth="23256" windowHeight="12456" xr2:uid="{00000000-000D-0000-FFFF-FFFF00000000}"/>
  </bookViews>
  <sheets>
    <sheet name="Sheet1 (2)" sheetId="4" r:id="rId1"/>
    <sheet name="Sheet2" sheetId="2" r:id="rId2"/>
    <sheet name="Config" sheetId="3" state="hidden" r:id="rId3"/>
  </sheets>
  <definedNames>
    <definedName name="_xlnm.Print_Area" localSheetId="0">'Sheet1 (2)'!$B$1:$R$26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S5UklokZKEMZse40yHjknN6U6sR0CeAD3wFTMfSdHR8="/>
    </ext>
  </extLst>
</workbook>
</file>

<file path=xl/calcChain.xml><?xml version="1.0" encoding="utf-8"?>
<calcChain xmlns="http://schemas.openxmlformats.org/spreadsheetml/2006/main">
  <c r="B14" i="4" l="1"/>
  <c r="K18" i="4"/>
  <c r="K14" i="4"/>
  <c r="E11" i="4"/>
  <c r="M17" i="2"/>
  <c r="L17" i="2"/>
  <c r="M16" i="2"/>
  <c r="L16" i="2"/>
  <c r="M15" i="2"/>
  <c r="L15" i="2"/>
  <c r="L14" i="2"/>
  <c r="I14" i="2"/>
  <c r="G14" i="2"/>
  <c r="L13" i="2"/>
  <c r="K13" i="2"/>
  <c r="I13" i="2"/>
  <c r="G13" i="2"/>
  <c r="L12" i="2"/>
  <c r="K12" i="2"/>
  <c r="I12" i="2"/>
  <c r="G12" i="2"/>
  <c r="L11" i="2"/>
  <c r="I11" i="2"/>
  <c r="G11" i="2"/>
  <c r="M11" i="2" s="1"/>
  <c r="L10" i="2"/>
  <c r="K10" i="2"/>
  <c r="I10" i="2"/>
  <c r="G10" i="2"/>
  <c r="L9" i="2"/>
  <c r="I9" i="2"/>
  <c r="G9" i="2"/>
  <c r="M8" i="2"/>
  <c r="L8" i="2"/>
  <c r="L7" i="2"/>
  <c r="I7" i="2"/>
  <c r="G7" i="2"/>
  <c r="M7" i="2" l="1"/>
  <c r="M12" i="2"/>
  <c r="M13" i="2"/>
  <c r="M9" i="2"/>
  <c r="M10" i="2"/>
  <c r="G18" i="2"/>
  <c r="M14" i="2"/>
  <c r="I18" i="2"/>
  <c r="K18" i="2"/>
  <c r="M18" i="2" l="1"/>
  <c r="M20" i="2" s="1"/>
  <c r="M19" i="2" l="1"/>
  <c r="M21" i="2" s="1"/>
  <c r="M22" i="2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<sst xmlns="http://schemas.openxmlformats.org/spreadsheetml/2006/main" count="90" uniqueCount="71">
  <si>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</si>
  <si>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</si>
  <si>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</si>
  <si>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</si>
  <si>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</si>
  <si>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</si>
  <si>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</si>
  <si>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</si>
  <si>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</si>
  <si>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</si>
  <si>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</si>
  <si>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</si>
  <si>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</si>
  <si>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</si>
  <si>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</si>
  <si>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</si>
  <si>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</si>
  <si>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</si>
  <si>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</si>
  <si>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</si>
  <si>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</si>
  <si>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</si>
  <si>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</si>
  <si>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</si>
  <si>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</si>
  <si>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</si>
  <si>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</si>
  <si>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</si>
  <si>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</si>
  <si>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</si>
  <si>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</si>
  <si>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</si>
  <si>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</si>
  <si>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</si>
  <si>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3"/>
        <charset val="129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3"/>
        <charset val="129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</si>
  <si>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</si>
  <si>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t>m²</t>
  </si>
  <si>
    <r>
      <rPr>
        <sz val="12"/>
        <color theme="1"/>
        <rFont val="맑은 고딕"/>
        <family val="3"/>
        <charset val="129"/>
      </rPr>
      <t>바탕조정제
부분미장</t>
    </r>
  </si>
  <si>
    <r>
      <rPr>
        <sz val="12"/>
        <color theme="1"/>
        <rFont val="맑은 고딕"/>
        <family val="3"/>
        <charset val="129"/>
      </rPr>
      <t>식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</si>
  <si>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</si>
  <si>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</si>
  <si>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t>2.3mm</t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</si>
  <si>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</si>
  <si>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</si>
  <si>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</si>
  <si>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</si>
  <si>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</si>
  <si>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</si>
  <si>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</si>
  <si>
    <r>
      <rPr>
        <sz val="12"/>
        <color theme="1"/>
        <rFont val="맑은 고딕"/>
        <family val="3"/>
        <charset val="129"/>
      </rPr>
      <t>사다리차</t>
    </r>
  </si>
  <si>
    <r>
      <rPr>
        <sz val="12"/>
        <color theme="1"/>
        <rFont val="맑은 고딕"/>
        <family val="3"/>
        <charset val="129"/>
      </rPr>
      <t>일</t>
    </r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</si>
  <si>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</si>
  <si>
    <r>
      <rPr>
        <sz val="12"/>
        <color theme="1"/>
        <rFont val="맑은 고딕"/>
        <family val="3"/>
        <charset val="129"/>
      </rPr>
      <t>식</t>
    </r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</si>
  <si>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</si>
  <si>
    <r>
      <rPr>
        <sz val="12"/>
        <color theme="1"/>
        <rFont val="맑은 고딕"/>
        <family val="3"/>
        <charset val="129"/>
      </rPr>
      <t>식</t>
    </r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</si>
  <si>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</si>
  <si>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</si>
  <si>
    <t>%</t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</si>
  <si>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</si>
  <si>
    <r>
      <rPr>
        <sz val="12"/>
        <color theme="1"/>
        <rFont val="맑은 고딕"/>
        <family val="3"/>
        <charset val="129"/>
      </rPr>
      <t>계</t>
    </r>
  </si>
  <si>
    <r>
      <rPr>
        <b/>
        <sz val="12"/>
        <color theme="1"/>
        <rFont val="맑은 고딕"/>
        <family val="3"/>
        <charset val="129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3"/>
        <charset val="129"/>
      </rPr>
      <t>계</t>
    </r>
  </si>
  <si>
    <r>
      <rPr>
        <sz val="12"/>
        <color theme="1"/>
        <rFont val="Arial"/>
        <family val="2"/>
      </rPr>
      <t>(</t>
    </r>
    <r>
      <rPr>
        <sz val="12"/>
        <color theme="1"/>
        <rFont val="맑은 고딕"/>
        <family val="3"/>
        <charset val="129"/>
      </rPr>
      <t>단수정리</t>
    </r>
    <r>
      <rPr>
        <sz val="12"/>
        <color theme="1"/>
        <rFont val="Arial"/>
        <family val="2"/>
      </rPr>
      <t>)</t>
    </r>
  </si>
  <si>
    <t>공 사 명</t>
  </si>
  <si>
    <t>010.5379.3587</t>
    <phoneticPr fontId="18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</si>
  <si>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18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</si>
  <si>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18" type="noConversion"/>
  </si>
  <si>
    <r>
      <rPr>
        <sz val="12"/>
        <color theme="1"/>
        <rFont val="Malgun Gothic"/>
        <family val="3"/>
        <charset val="129"/>
      </rPr>
      <t>귀하</t>
    </r>
    <phoneticPr fontId="18" type="noConversion"/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</si>
  <si>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18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</si>
  <si>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18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</si>
  <si>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18" type="noConversion"/>
  </si>
  <si>
    <t>Brand Collaborations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</si>
</sst>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"/>
    <numFmt numFmtId="178" formatCode="yyyy&quot;년&quot;\ m&quot;월&quot;\ d&quot;일&quot;;@"/>
  </numFmts>
  <fonts count="25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1"/>
      <name val="Aptos Narrow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rial"/>
      <family val="2"/>
    </font>
    <font>
      <b/>
      <sz val="11"/>
      <color rgb="FFB7B7B7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8"/>
      <name val="Aptos Narrow"/>
      <family val="3"/>
      <charset val="129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맑은 고딕"/>
      <family val="2"/>
      <charset val="129"/>
    </font>
    <font>
      <sz val="12"/>
      <name val="Arial"/>
      <family val="2"/>
    </font>
    <font>
      <sz val="12"/>
      <color theme="1"/>
      <name val="Arial"/>
      <family val="3"/>
      <charset val="129"/>
    </font>
    <font>
      <sz val="12"/>
      <color theme="1"/>
      <name val="Arial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1" tint="0.14999847407452621"/>
        <bgColor rgb="FF343C61"/>
      </patternFill>
    </fill>
  </fills>
  <borders count="64">
    <border>
      <left/>
      <right/>
      <top/>
      <bottom/>
      <diagonal/>
    </border>
    <border>
      <left/>
      <right/>
      <top style="thick">
        <color theme="1"/>
      </top>
      <bottom style="thin">
        <color rgb="FFCCCCCC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/>
      <top/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2">
    <xf numFmtId="0" fontId="0" fillId="0" borderId="0"/>
    <xf numFmtId="0" fontId="11" fillId="0" borderId="5"/>
  </cellStyleXfs>
  <cellXfs count="146">
    <xf numFmtId="0" fontId="0" fillId="0" borderId="0" xfId="0"/>
    <xf numFmtId="0" fontId="1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177" fontId="5" fillId="0" borderId="27" xfId="0" applyNumberFormat="1" applyFont="1" applyBorder="1" applyAlignment="1">
      <alignment horizontal="center" vertical="center"/>
    </xf>
    <xf numFmtId="3" fontId="5" fillId="2" borderId="31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3" fontId="5" fillId="4" borderId="31" xfId="0" applyNumberFormat="1" applyFont="1" applyFill="1" applyBorder="1" applyAlignment="1">
      <alignment horizontal="center" vertical="center"/>
    </xf>
    <xf numFmtId="3" fontId="5" fillId="3" borderId="31" xfId="0" applyNumberFormat="1" applyFont="1" applyFill="1" applyBorder="1" applyAlignment="1">
      <alignment horizontal="center" vertical="center"/>
    </xf>
    <xf numFmtId="177" fontId="5" fillId="3" borderId="31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/>
    </xf>
    <xf numFmtId="3" fontId="5" fillId="3" borderId="31" xfId="0" applyNumberFormat="1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/>
    </xf>
    <xf numFmtId="3" fontId="7" fillId="3" borderId="31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1" fillId="0" borderId="0" xfId="0" applyFont="1"/>
    <xf numFmtId="0" fontId="20" fillId="0" borderId="35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3" fontId="5" fillId="3" borderId="9" xfId="0" applyNumberFormat="1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5" fillId="0" borderId="9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1" fillId="0" borderId="5" xfId="1" applyFont="1"/>
    <xf numFmtId="0" fontId="2" fillId="0" borderId="5" xfId="1" applyFont="1" applyAlignment="1">
      <alignment horizontal="center" wrapText="1"/>
    </xf>
    <xf numFmtId="0" fontId="11" fillId="0" borderId="5" xfId="1"/>
    <xf numFmtId="0" fontId="2" fillId="0" borderId="5" xfId="1" applyFont="1" applyAlignment="1">
      <alignment wrapText="1"/>
    </xf>
    <xf numFmtId="0" fontId="1" fillId="5" borderId="5" xfId="1" applyFont="1" applyFill="1"/>
    <xf numFmtId="0" fontId="1" fillId="0" borderId="5" xfId="1" applyFont="1" applyAlignment="1">
      <alignment vertical="center"/>
    </xf>
    <xf numFmtId="0" fontId="3" fillId="0" borderId="5" xfId="1" applyFont="1"/>
    <xf numFmtId="0" fontId="3" fillId="5" borderId="5" xfId="1" applyFont="1" applyFill="1"/>
    <xf numFmtId="0" fontId="1" fillId="5" borderId="5" xfId="1" applyFont="1" applyFill="1" applyAlignment="1">
      <alignment vertical="center"/>
    </xf>
    <xf numFmtId="0" fontId="3" fillId="5" borderId="5" xfId="1" applyFont="1" applyFill="1" applyAlignment="1">
      <alignment vertical="center"/>
    </xf>
    <xf numFmtId="0" fontId="3" fillId="0" borderId="5" xfId="1" applyFont="1" applyAlignment="1">
      <alignment vertical="center"/>
    </xf>
    <xf numFmtId="0" fontId="4" fillId="6" borderId="37" xfId="1" applyFont="1" applyFill="1" applyBorder="1" applyAlignment="1">
      <alignment vertical="center"/>
    </xf>
    <xf numFmtId="0" fontId="4" fillId="5" borderId="7" xfId="1" applyFont="1" applyFill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7" fillId="0" borderId="5" xfId="1" applyFont="1"/>
    <xf numFmtId="0" fontId="7" fillId="7" borderId="3" xfId="1" applyFont="1" applyFill="1" applyBorder="1" applyAlignment="1">
      <alignment vertical="center"/>
    </xf>
    <xf numFmtId="0" fontId="7" fillId="5" borderId="3" xfId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8" fillId="6" borderId="38" xfId="1" applyFont="1" applyFill="1" applyBorder="1" applyAlignment="1">
      <alignment vertical="center"/>
    </xf>
    <xf numFmtId="0" fontId="8" fillId="5" borderId="19" xfId="1" applyFont="1" applyFill="1" applyBorder="1" applyAlignment="1">
      <alignment vertical="center"/>
    </xf>
    <xf numFmtId="178" fontId="5" fillId="0" borderId="39" xfId="1" applyNumberFormat="1" applyFont="1" applyBorder="1" applyAlignment="1">
      <alignment horizontal="left" vertical="center"/>
    </xf>
    <xf numFmtId="178" fontId="5" fillId="0" borderId="40" xfId="1" applyNumberFormat="1" applyFont="1" applyBorder="1" applyAlignment="1">
      <alignment horizontal="left" vertical="center"/>
    </xf>
    <xf numFmtId="0" fontId="7" fillId="7" borderId="17" xfId="1" applyFont="1" applyFill="1" applyBorder="1" applyAlignment="1">
      <alignment vertical="center"/>
    </xf>
    <xf numFmtId="0" fontId="7" fillId="5" borderId="17" xfId="1" applyFont="1" applyFill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19" xfId="1" applyFont="1" applyBorder="1" applyAlignment="1">
      <alignment horizontal="left" vertical="center"/>
    </xf>
    <xf numFmtId="0" fontId="5" fillId="0" borderId="41" xfId="1" applyFont="1" applyBorder="1" applyAlignment="1">
      <alignment vertical="center"/>
    </xf>
    <xf numFmtId="0" fontId="22" fillId="0" borderId="41" xfId="1" applyFont="1" applyBorder="1"/>
    <xf numFmtId="0" fontId="22" fillId="0" borderId="42" xfId="1" applyFont="1" applyBorder="1"/>
    <xf numFmtId="0" fontId="22" fillId="0" borderId="19" xfId="1" applyFont="1" applyBorder="1"/>
    <xf numFmtId="0" fontId="8" fillId="6" borderId="43" xfId="1" applyFont="1" applyFill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7" fillId="7" borderId="19" xfId="1" applyFont="1" applyFill="1" applyBorder="1" applyAlignment="1">
      <alignment vertical="center"/>
    </xf>
    <xf numFmtId="0" fontId="7" fillId="5" borderId="19" xfId="1" applyFont="1" applyFill="1" applyBorder="1" applyAlignment="1">
      <alignment vertical="center"/>
    </xf>
    <xf numFmtId="0" fontId="23" fillId="0" borderId="19" xfId="1" applyFont="1" applyBorder="1" applyAlignment="1">
      <alignment horizontal="left" vertical="center" wrapText="1"/>
    </xf>
    <xf numFmtId="0" fontId="5" fillId="0" borderId="19" xfId="1" applyFont="1" applyBorder="1" applyAlignment="1">
      <alignment horizontal="left" vertical="center" wrapText="1"/>
    </xf>
    <xf numFmtId="0" fontId="8" fillId="5" borderId="5" xfId="1" applyFont="1" applyFill="1" applyAlignment="1">
      <alignment vertical="center"/>
    </xf>
    <xf numFmtId="0" fontId="5" fillId="0" borderId="2" xfId="1" applyFont="1" applyBorder="1" applyAlignment="1">
      <alignment vertical="center"/>
    </xf>
    <xf numFmtId="0" fontId="8" fillId="6" borderId="3" xfId="1" applyFont="1" applyFill="1" applyBorder="1" applyAlignment="1">
      <alignment horizontal="center" vertical="center" wrapText="1"/>
    </xf>
    <xf numFmtId="176" fontId="9" fillId="0" borderId="7" xfId="1" applyNumberFormat="1" applyFont="1" applyBorder="1" applyAlignment="1">
      <alignment horizontal="center" vertical="center" wrapText="1"/>
    </xf>
    <xf numFmtId="0" fontId="5" fillId="0" borderId="2" xfId="1" applyFont="1" applyBorder="1"/>
    <xf numFmtId="0" fontId="5" fillId="0" borderId="4" xfId="1" applyFont="1" applyBorder="1"/>
    <xf numFmtId="0" fontId="8" fillId="6" borderId="44" xfId="1" applyFont="1" applyFill="1" applyBorder="1" applyAlignment="1">
      <alignment horizontal="center" vertical="center"/>
    </xf>
    <xf numFmtId="0" fontId="8" fillId="6" borderId="45" xfId="1" applyFont="1" applyFill="1" applyBorder="1" applyAlignment="1">
      <alignment horizontal="center" vertical="center"/>
    </xf>
    <xf numFmtId="0" fontId="8" fillId="6" borderId="46" xfId="1" applyFont="1" applyFill="1" applyBorder="1" applyAlignment="1">
      <alignment horizontal="center" vertical="center"/>
    </xf>
    <xf numFmtId="0" fontId="8" fillId="6" borderId="47" xfId="1" applyFont="1" applyFill="1" applyBorder="1" applyAlignment="1">
      <alignment horizontal="center" vertical="center"/>
    </xf>
    <xf numFmtId="0" fontId="8" fillId="6" borderId="48" xfId="1" applyFont="1" applyFill="1" applyBorder="1" applyAlignment="1">
      <alignment horizontal="center" vertical="center"/>
    </xf>
    <xf numFmtId="0" fontId="8" fillId="6" borderId="49" xfId="1" applyFont="1" applyFill="1" applyBorder="1" applyAlignment="1">
      <alignment horizontal="center" vertical="center"/>
    </xf>
    <xf numFmtId="0" fontId="8" fillId="6" borderId="50" xfId="1" applyFont="1" applyFill="1" applyBorder="1" applyAlignment="1">
      <alignment horizontal="center" vertical="center"/>
    </xf>
    <xf numFmtId="0" fontId="8" fillId="6" borderId="7" xfId="1" applyFont="1" applyFill="1" applyBorder="1" applyAlignment="1">
      <alignment horizontal="center" vertical="center"/>
    </xf>
    <xf numFmtId="0" fontId="8" fillId="6" borderId="6" xfId="1" applyFont="1" applyFill="1" applyBorder="1" applyAlignment="1">
      <alignment horizontal="center" vertical="center"/>
    </xf>
    <xf numFmtId="0" fontId="1" fillId="0" borderId="8" xfId="1" applyFont="1" applyBorder="1"/>
    <xf numFmtId="0" fontId="22" fillId="0" borderId="10" xfId="1" applyFont="1" applyBorder="1"/>
    <xf numFmtId="0" fontId="22" fillId="0" borderId="11" xfId="1" applyFont="1" applyBorder="1"/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/>
    </xf>
    <xf numFmtId="0" fontId="5" fillId="0" borderId="5" xfId="1" applyFont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51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5" fillId="0" borderId="40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5" fillId="0" borderId="16" xfId="1" applyFont="1" applyBorder="1"/>
    <xf numFmtId="0" fontId="5" fillId="0" borderId="16" xfId="1" applyFont="1" applyBorder="1" applyAlignment="1">
      <alignment horizontal="center"/>
    </xf>
    <xf numFmtId="0" fontId="5" fillId="0" borderId="33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52" xfId="1" applyFont="1" applyBorder="1" applyAlignment="1">
      <alignment horizontal="center"/>
    </xf>
    <xf numFmtId="0" fontId="5" fillId="8" borderId="20" xfId="1" applyFont="1" applyFill="1" applyBorder="1" applyAlignment="1">
      <alignment horizontal="center" vertical="center"/>
    </xf>
    <xf numFmtId="0" fontId="5" fillId="8" borderId="19" xfId="1" applyFont="1" applyFill="1" applyBorder="1" applyAlignment="1">
      <alignment horizontal="center" vertical="center"/>
    </xf>
    <xf numFmtId="0" fontId="5" fillId="8" borderId="52" xfId="1" applyFont="1" applyFill="1" applyBorder="1" applyAlignment="1">
      <alignment horizontal="center" vertical="center"/>
    </xf>
    <xf numFmtId="0" fontId="5" fillId="8" borderId="53" xfId="1" applyFont="1" applyFill="1" applyBorder="1" applyAlignment="1">
      <alignment horizontal="center" vertical="center"/>
    </xf>
    <xf numFmtId="0" fontId="5" fillId="8" borderId="54" xfId="1" applyFont="1" applyFill="1" applyBorder="1" applyAlignment="1">
      <alignment horizontal="center" vertical="center"/>
    </xf>
    <xf numFmtId="0" fontId="5" fillId="8" borderId="20" xfId="1" applyFont="1" applyFill="1" applyBorder="1" applyAlignment="1">
      <alignment vertical="center"/>
    </xf>
    <xf numFmtId="0" fontId="7" fillId="0" borderId="16" xfId="1" applyFont="1" applyBorder="1" applyAlignment="1">
      <alignment vertical="top" wrapText="1"/>
    </xf>
    <xf numFmtId="0" fontId="7" fillId="0" borderId="17" xfId="1" applyFont="1" applyBorder="1" applyAlignment="1">
      <alignment vertical="top"/>
    </xf>
    <xf numFmtId="0" fontId="5" fillId="0" borderId="21" xfId="1" applyFont="1" applyBorder="1" applyAlignment="1">
      <alignment vertical="center" wrapText="1"/>
    </xf>
    <xf numFmtId="0" fontId="22" fillId="0" borderId="22" xfId="1" applyFont="1" applyBorder="1"/>
    <xf numFmtId="0" fontId="22" fillId="0" borderId="23" xfId="1" applyFont="1" applyBorder="1"/>
    <xf numFmtId="0" fontId="7" fillId="0" borderId="8" xfId="1" applyFont="1" applyBorder="1" applyAlignment="1">
      <alignment vertical="top"/>
    </xf>
    <xf numFmtId="0" fontId="7" fillId="0" borderId="5" xfId="1" applyFont="1" applyAlignment="1">
      <alignment vertical="top"/>
    </xf>
    <xf numFmtId="0" fontId="22" fillId="0" borderId="28" xfId="1" applyFont="1" applyBorder="1"/>
    <xf numFmtId="0" fontId="5" fillId="0" borderId="5" xfId="1" applyFont="1"/>
    <xf numFmtId="0" fontId="22" fillId="0" borderId="24" xfId="1" applyFont="1" applyBorder="1"/>
    <xf numFmtId="0" fontId="7" fillId="0" borderId="13" xfId="1" applyFont="1" applyBorder="1" applyAlignment="1">
      <alignment vertical="top"/>
    </xf>
    <xf numFmtId="0" fontId="7" fillId="0" borderId="14" xfId="1" applyFont="1" applyBorder="1" applyAlignment="1">
      <alignment vertical="top"/>
    </xf>
    <xf numFmtId="0" fontId="22" fillId="0" borderId="25" xfId="1" applyFont="1" applyBorder="1"/>
    <xf numFmtId="0" fontId="22" fillId="0" borderId="26" xfId="1" applyFont="1" applyBorder="1"/>
    <xf numFmtId="0" fontId="22" fillId="0" borderId="31" xfId="1" applyFont="1" applyBorder="1"/>
    <xf numFmtId="0" fontId="10" fillId="0" borderId="17" xfId="1" applyFont="1" applyBorder="1"/>
    <xf numFmtId="0" fontId="10" fillId="0" borderId="5" xfId="1" applyFont="1"/>
    <xf numFmtId="0" fontId="10" fillId="0" borderId="5" xfId="1" applyFont="1" applyAlignment="1">
      <alignment horizontal="right"/>
    </xf>
    <xf numFmtId="0" fontId="11" fillId="5" borderId="5" xfId="1" applyFill="1"/>
    <xf numFmtId="0" fontId="19" fillId="6" borderId="7" xfId="0" applyFont="1" applyFill="1" applyBorder="1" applyAlignment="1">
      <alignment horizontal="center" vertical="center"/>
    </xf>
    <xf numFmtId="0" fontId="8" fillId="9" borderId="55" xfId="0" applyFont="1" applyFill="1" applyBorder="1" applyAlignment="1">
      <alignment horizontal="center" vertical="center"/>
    </xf>
    <xf numFmtId="0" fontId="8" fillId="9" borderId="56" xfId="0" applyFont="1" applyFill="1" applyBorder="1" applyAlignment="1">
      <alignment horizontal="center" vertical="center"/>
    </xf>
    <xf numFmtId="0" fontId="8" fillId="9" borderId="57" xfId="0" applyFont="1" applyFill="1" applyBorder="1" applyAlignment="1">
      <alignment horizontal="center" vertical="center"/>
    </xf>
    <xf numFmtId="0" fontId="8" fillId="9" borderId="58" xfId="0" applyFont="1" applyFill="1" applyBorder="1" applyAlignment="1">
      <alignment horizontal="center" vertical="center"/>
    </xf>
    <xf numFmtId="0" fontId="8" fillId="9" borderId="59" xfId="0" applyFont="1" applyFill="1" applyBorder="1" applyAlignment="1">
      <alignment horizontal="center" vertical="center"/>
    </xf>
    <xf numFmtId="0" fontId="8" fillId="9" borderId="60" xfId="0" applyFont="1" applyFill="1" applyBorder="1" applyAlignment="1">
      <alignment horizontal="center" vertical="center"/>
    </xf>
    <xf numFmtId="0" fontId="6" fillId="6" borderId="61" xfId="0" applyFont="1" applyFill="1" applyBorder="1"/>
    <xf numFmtId="0" fontId="8" fillId="9" borderId="62" xfId="0" applyFont="1" applyFill="1" applyBorder="1" applyAlignment="1">
      <alignment horizontal="center" vertical="center"/>
    </xf>
    <xf numFmtId="0" fontId="8" fillId="9" borderId="63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6F47BBD0-2844-43C1-8840-32712D32A2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C87BD6B4-3D1A-461A-A966-6925B17FF854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288F8F24-3D5E-4AC0-8424-726B2391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10886</xdr:colOff>
      <xdr:row>0</xdr:row>
      <xdr:rowOff>185058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28C50CF8-0B1F-4EC9-8CBC-0DBA2B48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058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FB11-86BD-4FB2-B095-514FFA625A87}">
  <sheetPr>
    <pageSetUpPr fitToPage="1"/>
  </sheetPr>
  <dimension ref="A1:AO59"/>
  <sheetViews>
    <sheetView tabSelected="1" zoomScale="85" zoomScaleNormal="85" zoomScalePageLayoutView="57" workbookViewId="0">
      <selection activeCell="B14" sqref="B14:E14"/>
    </sheetView>
  </sheetViews>
  <sheetFormatPr defaultColWidth="10.109375" defaultRowHeight="14.4"/>
  <cols>
    <col min="1" max="1" width="10.109375" style="38"/>
    <col min="2" max="2" width="12.44140625" style="38" bestFit="1" customWidth="1"/>
    <col min="3" max="3" width="1.109375" style="38" customWidth="1"/>
    <col min="4" max="4" width="4.5546875" style="38" customWidth="1"/>
    <col min="5" max="5" width="39.77734375" style="38" customWidth="1"/>
    <col min="6" max="6" width="3.33203125" style="38" hidden="1" customWidth="1"/>
    <col min="7" max="7" width="7.6640625" style="38" customWidth="1"/>
    <col min="8" max="8" width="15.77734375" style="38" bestFit="1" customWidth="1"/>
    <col min="9" max="9" width="1.109375" style="38" customWidth="1"/>
    <col min="10" max="10" width="17.88671875" style="38" customWidth="1"/>
    <col min="11" max="11" width="0.109375" style="38" customWidth="1"/>
    <col min="12" max="12" width="14.5546875" style="38" customWidth="1"/>
    <col min="13" max="13" width="1.109375" style="133" customWidth="1"/>
    <col min="14" max="14" width="28" style="38" customWidth="1"/>
    <col min="15" max="15" width="7.77734375" style="38" customWidth="1"/>
    <col min="16" max="16" width="1.109375" style="38" customWidth="1"/>
    <col min="17" max="17" width="10.109375" style="38"/>
    <col min="18" max="18" width="4.109375" style="38" customWidth="1"/>
    <col min="19" max="16384" width="10.109375" style="38"/>
  </cols>
  <sheetData>
    <row r="1" spans="1:41" ht="21.75" customHeight="1">
      <c r="A1" s="36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</row>
    <row r="2" spans="1:4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</row>
    <row r="3" spans="1:41" ht="15" customHeight="1">
      <c r="A3" s="36"/>
      <c r="B3" s="36"/>
      <c r="C3" s="36"/>
      <c r="D3" s="36"/>
      <c r="E3" s="36"/>
      <c r="F3" s="36"/>
      <c r="G3" s="36"/>
      <c r="H3" s="39"/>
      <c r="I3" s="39"/>
      <c r="J3" s="39"/>
      <c r="K3" s="39"/>
      <c r="L3" s="36"/>
      <c r="M3" s="40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</row>
    <row r="4" spans="1:41" ht="16.5" customHeight="1">
      <c r="A4" s="41"/>
      <c r="B4" s="41"/>
      <c r="C4" s="41"/>
      <c r="D4" s="41"/>
      <c r="E4" s="41"/>
      <c r="F4" s="36"/>
      <c r="G4" s="42"/>
      <c r="H4" s="42"/>
      <c r="I4" s="42"/>
      <c r="J4" s="42"/>
      <c r="K4" s="42"/>
      <c r="L4" s="42"/>
      <c r="M4" s="43"/>
      <c r="N4" s="42"/>
      <c r="O4" s="42"/>
      <c r="P4" s="42"/>
      <c r="Q4" s="42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</row>
    <row r="5" spans="1:41" ht="21" customHeight="1" thickBot="1">
      <c r="A5" s="41"/>
      <c r="B5" s="44"/>
      <c r="C5" s="44"/>
      <c r="D5" s="44"/>
      <c r="E5" s="44"/>
      <c r="F5" s="40"/>
      <c r="G5" s="43"/>
      <c r="H5" s="45" t="s">
        <v>1</v>
      </c>
      <c r="I5" s="45"/>
      <c r="J5" s="46"/>
      <c r="K5" s="46"/>
      <c r="L5" s="46"/>
      <c r="M5" s="45"/>
      <c r="N5" s="46"/>
      <c r="O5" s="46"/>
      <c r="P5" s="46"/>
      <c r="Q5" s="4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</row>
    <row r="6" spans="1:41" ht="27" customHeight="1" thickTop="1">
      <c r="B6" s="47" t="s">
        <v>2</v>
      </c>
      <c r="C6" s="48"/>
      <c r="D6" s="49">
        <v>26030901</v>
      </c>
      <c r="E6" s="49"/>
      <c r="F6" s="49"/>
      <c r="G6" s="50"/>
      <c r="H6" s="51" t="s">
        <v>3</v>
      </c>
      <c r="I6" s="52"/>
      <c r="J6" s="53" t="s">
        <v>4</v>
      </c>
      <c r="K6" s="53"/>
      <c r="L6" s="51" t="s">
        <v>5</v>
      </c>
      <c r="M6" s="52"/>
      <c r="N6" s="54" t="s">
        <v>6</v>
      </c>
      <c r="O6" s="51" t="s">
        <v>7</v>
      </c>
      <c r="P6" s="52"/>
      <c r="Q6" s="53" t="s">
        <v>8</v>
      </c>
      <c r="R6" s="53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</row>
    <row r="7" spans="1:41" ht="26.25" customHeight="1">
      <c r="A7" s="41"/>
      <c r="B7" s="55" t="s">
        <v>9</v>
      </c>
      <c r="C7" s="56"/>
      <c r="D7" s="57">
        <v>46090</v>
      </c>
      <c r="E7" s="57"/>
      <c r="F7" s="58"/>
      <c r="G7" s="50"/>
      <c r="H7" s="59" t="s">
        <v>10</v>
      </c>
      <c r="I7" s="60"/>
      <c r="J7" s="61" t="s">
        <v>11</v>
      </c>
      <c r="K7" s="61"/>
      <c r="L7" s="59" t="s">
        <v>12</v>
      </c>
      <c r="M7" s="60"/>
      <c r="N7" s="62" t="s">
        <v>13</v>
      </c>
      <c r="O7" s="62"/>
      <c r="P7" s="62"/>
      <c r="Q7" s="62"/>
      <c r="R7" s="62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</row>
    <row r="8" spans="1:41" ht="26.25" customHeight="1">
      <c r="A8" s="41"/>
      <c r="B8" s="55" t="s">
        <v>14</v>
      </c>
      <c r="C8" s="56"/>
      <c r="D8" s="63" t="s">
        <v>66</v>
      </c>
      <c r="E8" s="64"/>
      <c r="F8" s="65"/>
      <c r="G8" s="50"/>
      <c r="H8" s="59" t="s">
        <v>15</v>
      </c>
      <c r="I8" s="60"/>
      <c r="J8" s="61" t="s">
        <v>63</v>
      </c>
      <c r="K8" s="66"/>
      <c r="L8" s="59" t="s">
        <v>16</v>
      </c>
      <c r="M8" s="60"/>
      <c r="N8" s="62" t="s">
        <v>17</v>
      </c>
      <c r="O8" s="62"/>
      <c r="P8" s="62"/>
      <c r="Q8" s="62"/>
      <c r="R8" s="62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</row>
    <row r="9" spans="1:41" ht="27.75" customHeight="1">
      <c r="A9" s="41"/>
      <c r="B9" s="67" t="s">
        <v>18</v>
      </c>
      <c r="C9" s="56"/>
      <c r="D9" s="68" t="s">
        <v>19</v>
      </c>
      <c r="E9" s="68"/>
      <c r="F9" s="68"/>
      <c r="G9" s="50"/>
      <c r="H9" s="69" t="s">
        <v>20</v>
      </c>
      <c r="I9" s="70"/>
      <c r="J9" s="71" t="s">
        <v>64</v>
      </c>
      <c r="K9" s="72"/>
      <c r="L9" s="72"/>
      <c r="M9" s="72"/>
      <c r="N9" s="72"/>
      <c r="O9" s="72"/>
      <c r="P9" s="72"/>
      <c r="Q9" s="72"/>
      <c r="R9" s="72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</row>
    <row r="10" spans="1:41" ht="16.2" thickBot="1">
      <c r="A10" s="41"/>
      <c r="B10" s="73"/>
      <c r="C10" s="73"/>
      <c r="D10" s="73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</row>
    <row r="11" spans="1:41" ht="50.25" customHeight="1" thickTop="1">
      <c r="A11" s="41"/>
      <c r="B11" s="75" t="s">
        <v>21</v>
      </c>
      <c r="C11" s="75"/>
      <c r="D11" s="75"/>
      <c r="E11" s="76" t="str">
        <f>"일금 "&amp;NUMBERSTRING(K18,1)&amp;" 원정"&amp;TEXT(K18,"(₩#,###)")</f>
        <v>일금 사백오십만 원정(₩4,500,000)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</row>
    <row r="12" spans="1:41" ht="15.6" thickBot="1">
      <c r="A12" s="36"/>
      <c r="B12" s="77"/>
      <c r="C12" s="77"/>
      <c r="D12" s="77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</row>
    <row r="13" spans="1:41" ht="29.25" customHeight="1" thickTop="1">
      <c r="A13" s="36"/>
      <c r="B13" s="79" t="s">
        <v>22</v>
      </c>
      <c r="C13" s="80"/>
      <c r="D13" s="80"/>
      <c r="E13" s="81"/>
      <c r="F13" s="82" t="s">
        <v>23</v>
      </c>
      <c r="G13" s="81"/>
      <c r="H13" s="83" t="s">
        <v>24</v>
      </c>
      <c r="I13" s="84" t="s">
        <v>25</v>
      </c>
      <c r="J13" s="85"/>
      <c r="K13" s="86" t="s">
        <v>26</v>
      </c>
      <c r="L13" s="86"/>
      <c r="M13" s="86"/>
      <c r="N13" s="87"/>
      <c r="O13" s="86" t="s">
        <v>27</v>
      </c>
      <c r="P13" s="86"/>
      <c r="Q13" s="86"/>
      <c r="R13" s="86"/>
      <c r="S13" s="88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</row>
    <row r="14" spans="1:41" ht="28.5" customHeight="1">
      <c r="A14" s="36"/>
      <c r="B14" s="34" t="str">
        <f>Sheet2!C3</f>
        <v>옥상 이중복합방수 3.8mm (제 1안)</v>
      </c>
      <c r="C14" s="32"/>
      <c r="D14" s="32"/>
      <c r="E14" s="33"/>
      <c r="F14" s="91" t="s">
        <v>28</v>
      </c>
      <c r="G14" s="90"/>
      <c r="H14" s="92">
        <v>1</v>
      </c>
      <c r="I14" s="93"/>
      <c r="J14" s="94"/>
      <c r="K14" s="35">
        <f>Sheet2!M21</f>
        <v>4599800</v>
      </c>
      <c r="L14" s="32"/>
      <c r="M14" s="32"/>
      <c r="N14" s="33"/>
      <c r="O14" s="95"/>
      <c r="P14" s="96"/>
      <c r="Q14" s="96"/>
      <c r="R14" s="97"/>
      <c r="S14" s="88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</row>
    <row r="15" spans="1:41" ht="25.5" customHeight="1">
      <c r="A15" s="36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89"/>
      <c r="M15" s="89"/>
      <c r="N15" s="90"/>
      <c r="O15" s="105"/>
      <c r="P15" s="106"/>
      <c r="Q15" s="106"/>
      <c r="R15" s="107"/>
      <c r="S15" s="88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</row>
    <row r="16" spans="1:41" ht="25.5" customHeight="1">
      <c r="A16" s="36"/>
      <c r="B16" s="105"/>
      <c r="C16" s="106"/>
      <c r="D16" s="106"/>
      <c r="E16" s="107"/>
      <c r="F16" s="105"/>
      <c r="G16" s="107"/>
      <c r="H16" s="102"/>
      <c r="I16" s="105"/>
      <c r="J16" s="107"/>
      <c r="K16" s="104"/>
      <c r="L16" s="89"/>
      <c r="M16" s="89"/>
      <c r="N16" s="90"/>
      <c r="O16" s="105"/>
      <c r="P16" s="106"/>
      <c r="Q16" s="106"/>
      <c r="R16" s="107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</row>
    <row r="17" spans="1:41" ht="25.5" customHeight="1">
      <c r="A17" s="36"/>
      <c r="B17" s="105"/>
      <c r="C17" s="106"/>
      <c r="D17" s="106"/>
      <c r="E17" s="108"/>
      <c r="F17" s="101"/>
      <c r="G17" s="101"/>
      <c r="H17" s="102"/>
      <c r="I17" s="103"/>
      <c r="J17" s="101"/>
      <c r="K17" s="104"/>
      <c r="L17" s="89"/>
      <c r="M17" s="89"/>
      <c r="N17" s="90"/>
      <c r="O17" s="105"/>
      <c r="P17" s="106"/>
      <c r="Q17" s="106"/>
      <c r="R17" s="107"/>
      <c r="S17" s="88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</row>
    <row r="18" spans="1:41" ht="27" customHeight="1">
      <c r="A18" s="36"/>
      <c r="B18" s="109" t="s">
        <v>29</v>
      </c>
      <c r="C18" s="110"/>
      <c r="D18" s="110"/>
      <c r="E18" s="111"/>
      <c r="F18" s="112"/>
      <c r="G18" s="113"/>
      <c r="H18" s="114"/>
      <c r="I18" s="109"/>
      <c r="J18" s="110"/>
      <c r="K18" s="31">
        <f>Sheet2!M22</f>
        <v>4500000</v>
      </c>
      <c r="L18" s="32"/>
      <c r="M18" s="32"/>
      <c r="N18" s="33"/>
      <c r="O18" s="109" t="s">
        <v>67</v>
      </c>
      <c r="P18" s="110"/>
      <c r="Q18" s="110"/>
      <c r="R18" s="110"/>
      <c r="S18" s="88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 spans="1:41" ht="26.25" customHeight="1">
      <c r="A19" s="36"/>
      <c r="B19" s="115" t="s">
        <v>68</v>
      </c>
      <c r="C19" s="116"/>
      <c r="D19" s="117" t="s">
        <v>69</v>
      </c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9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 spans="1:41" ht="19.5" customHeight="1">
      <c r="A20" s="36"/>
      <c r="B20" s="120"/>
      <c r="C20" s="121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</row>
    <row r="21" spans="1:41" ht="21" customHeight="1">
      <c r="A21" s="36"/>
      <c r="B21" s="120"/>
      <c r="C21" s="121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4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</row>
    <row r="22" spans="1:41">
      <c r="A22" s="36"/>
      <c r="B22" s="125"/>
      <c r="C22" s="126"/>
      <c r="D22" s="127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9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</row>
    <row r="23" spans="1:41">
      <c r="A23" s="36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</row>
    <row r="24" spans="1:41">
      <c r="A24" s="36"/>
      <c r="B24" s="131"/>
      <c r="C24" s="131"/>
      <c r="D24" s="131"/>
      <c r="E24" s="132" t="s">
        <v>70</v>
      </c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</row>
    <row r="25" spans="1:41">
      <c r="A25" s="36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</row>
    <row r="26" spans="1:41">
      <c r="A26" s="36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</row>
    <row r="27" spans="1:41">
      <c r="A27" s="36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</row>
    <row r="28" spans="1:41">
      <c r="A28" s="36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</row>
    <row r="29" spans="1:41">
      <c r="A29" s="36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</row>
    <row r="30" spans="1:41">
      <c r="A30" s="36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</row>
    <row r="31" spans="1:41">
      <c r="A31" s="36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</row>
    <row r="32" spans="1:41">
      <c r="A32" s="36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</row>
    <row r="33" spans="1:41">
      <c r="A33" s="36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</row>
    <row r="34" spans="1:41">
      <c r="A34" s="36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</row>
    <row r="35" spans="1:4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40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</row>
    <row r="36" spans="1:4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40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</row>
    <row r="37" spans="1:4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40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</row>
    <row r="38" spans="1:4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40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</row>
    <row r="39" spans="1:4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40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</row>
    <row r="40" spans="1:4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40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</row>
    <row r="41" spans="1: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40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</row>
    <row r="42" spans="1:4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40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</row>
    <row r="43" spans="1:4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40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</row>
    <row r="44" spans="1:4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40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</row>
    <row r="45" spans="1:4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40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</row>
    <row r="46" spans="1:4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40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</row>
    <row r="47" spans="1:4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40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</row>
    <row r="48" spans="1:4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40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</row>
    <row r="49" spans="1:4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40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</row>
    <row r="50" spans="1:4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40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</row>
    <row r="51" spans="1:4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40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</row>
    <row r="52" spans="1:4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40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</row>
    <row r="53" spans="1:4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40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</row>
    <row r="54" spans="1:4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40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</row>
    <row r="55" spans="1:4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40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</row>
    <row r="56" spans="1:4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40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</row>
    <row r="57" spans="1:4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40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</row>
    <row r="58" spans="1:4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40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</row>
    <row r="59" spans="1:4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40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18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zoomScale="70" zoomScaleNormal="70" workbookViewId="0">
      <selection activeCell="C3" sqref="C3:N3"/>
    </sheetView>
  </sheetViews>
  <sheetFormatPr defaultColWidth="12.5546875" defaultRowHeight="15" customHeight="1"/>
  <cols>
    <col min="1" max="1" width="7.5546875" customWidth="1"/>
    <col min="2" max="2" width="16.33203125" customWidth="1"/>
    <col min="3" max="3" width="19.5546875" customWidth="1"/>
    <col min="4" max="4" width="6.33203125" customWidth="1"/>
    <col min="5" max="5" width="8" customWidth="1"/>
    <col min="6" max="6" width="10" customWidth="1"/>
    <col min="7" max="7" width="12" customWidth="1"/>
    <col min="8" max="8" width="10.44140625" customWidth="1"/>
    <col min="9" max="9" width="12.44140625" customWidth="1"/>
    <col min="10" max="10" width="10.33203125" customWidth="1"/>
    <col min="11" max="11" width="12.5546875" customWidth="1"/>
    <col min="12" max="12" width="9.44140625" customWidth="1"/>
    <col min="13" max="13" width="15" customWidth="1"/>
    <col min="14" max="14" width="9.44140625" customWidth="1"/>
    <col min="15" max="16" width="7.5546875" customWidth="1"/>
    <col min="17" max="17" width="6.88671875" customWidth="1"/>
    <col min="18" max="26" width="7.55468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4" t="s">
        <v>62</v>
      </c>
      <c r="C3" s="28" t="s">
        <v>65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1:18" ht="15" customHeight="1" thickBot="1">
      <c r="A4" s="1"/>
      <c r="D4" s="1"/>
      <c r="E4" s="1"/>
      <c r="F4" s="1"/>
    </row>
    <row r="5" spans="1:18" ht="31.5" customHeight="1" thickTop="1">
      <c r="A5" s="1"/>
      <c r="B5" s="135" t="s">
        <v>22</v>
      </c>
      <c r="C5" s="137" t="s">
        <v>23</v>
      </c>
      <c r="D5" s="137" t="s">
        <v>30</v>
      </c>
      <c r="E5" s="137" t="s">
        <v>24</v>
      </c>
      <c r="F5" s="139" t="s">
        <v>31</v>
      </c>
      <c r="G5" s="141"/>
      <c r="H5" s="139" t="s">
        <v>32</v>
      </c>
      <c r="I5" s="141"/>
      <c r="J5" s="139" t="s">
        <v>33</v>
      </c>
      <c r="K5" s="141"/>
      <c r="L5" s="139" t="s">
        <v>34</v>
      </c>
      <c r="M5" s="141"/>
      <c r="N5" s="145" t="s">
        <v>27</v>
      </c>
    </row>
    <row r="6" spans="1:18" ht="30.75" customHeight="1">
      <c r="A6" s="1"/>
      <c r="B6" s="136"/>
      <c r="C6" s="138"/>
      <c r="D6" s="138"/>
      <c r="E6" s="138"/>
      <c r="F6" s="140" t="s">
        <v>25</v>
      </c>
      <c r="G6" s="138" t="s">
        <v>26</v>
      </c>
      <c r="H6" s="140" t="s">
        <v>25</v>
      </c>
      <c r="I6" s="138" t="s">
        <v>26</v>
      </c>
      <c r="J6" s="142" t="s">
        <v>25</v>
      </c>
      <c r="K6" s="142" t="s">
        <v>26</v>
      </c>
      <c r="L6" s="143" t="s">
        <v>25</v>
      </c>
      <c r="M6" s="138" t="s">
        <v>26</v>
      </c>
      <c r="N6" s="144"/>
      <c r="O6" s="1"/>
      <c r="P6" s="1"/>
      <c r="Q6" s="1"/>
      <c r="R6" s="1"/>
    </row>
    <row r="7" spans="1:18" ht="30" customHeight="1">
      <c r="A7" s="1"/>
      <c r="B7" s="3" t="s">
        <v>35</v>
      </c>
      <c r="C7" s="4"/>
      <c r="D7" s="5" t="s">
        <v>36</v>
      </c>
      <c r="E7" s="6">
        <v>100</v>
      </c>
      <c r="F7" s="7">
        <v>300</v>
      </c>
      <c r="G7" s="6">
        <f>E7*F7</f>
        <v>30000</v>
      </c>
      <c r="H7" s="7">
        <v>1200</v>
      </c>
      <c r="I7" s="6">
        <f>H7*E7</f>
        <v>120000</v>
      </c>
      <c r="J7" s="7"/>
      <c r="K7" s="7"/>
      <c r="L7" s="8">
        <f>J7+H7+F7</f>
        <v>1500</v>
      </c>
      <c r="M7" s="6">
        <f t="shared" ref="M7:M17" si="0">SUM(K7+I7+G7)</f>
        <v>150000</v>
      </c>
      <c r="N7" s="5"/>
    </row>
    <row r="8" spans="1:18" ht="17.25" customHeight="1">
      <c r="A8" s="1"/>
      <c r="B8" s="3" t="s">
        <v>37</v>
      </c>
      <c r="C8" s="4"/>
      <c r="D8" s="5" t="s">
        <v>38</v>
      </c>
      <c r="E8" s="6">
        <v>1</v>
      </c>
      <c r="F8" s="7"/>
      <c r="G8" s="6"/>
      <c r="H8" s="7"/>
      <c r="I8" s="6"/>
      <c r="J8" s="7"/>
      <c r="K8" s="7"/>
      <c r="L8" s="8">
        <f>SUM(K8+I8+G8)</f>
        <v>0</v>
      </c>
      <c r="M8" s="6">
        <f t="shared" si="0"/>
        <v>0</v>
      </c>
      <c r="N8" s="5"/>
    </row>
    <row r="9" spans="1:18" ht="30" customHeight="1">
      <c r="A9" s="1"/>
      <c r="B9" s="9" t="s">
        <v>39</v>
      </c>
      <c r="C9" s="10"/>
      <c r="D9" s="5" t="s">
        <v>36</v>
      </c>
      <c r="E9" s="6">
        <v>100</v>
      </c>
      <c r="F9" s="7">
        <v>900</v>
      </c>
      <c r="G9" s="6">
        <f t="shared" ref="G9:G14" si="1">E9*F9</f>
        <v>90000</v>
      </c>
      <c r="H9" s="7">
        <v>1600</v>
      </c>
      <c r="I9" s="6">
        <f t="shared" ref="I9:I14" si="2">H9*E9</f>
        <v>160000</v>
      </c>
      <c r="J9" s="7"/>
      <c r="K9" s="7"/>
      <c r="L9" s="8">
        <f t="shared" ref="L9:L14" si="3">J9+H9+F9</f>
        <v>2500</v>
      </c>
      <c r="M9" s="6">
        <f t="shared" si="0"/>
        <v>250000</v>
      </c>
      <c r="N9" s="5"/>
    </row>
    <row r="10" spans="1:18" ht="30" customHeight="1">
      <c r="A10" s="1"/>
      <c r="B10" s="11" t="s">
        <v>40</v>
      </c>
      <c r="C10" s="10" t="s">
        <v>41</v>
      </c>
      <c r="D10" s="5" t="s">
        <v>36</v>
      </c>
      <c r="E10" s="6">
        <v>100</v>
      </c>
      <c r="F10" s="7">
        <v>10000</v>
      </c>
      <c r="G10" s="6">
        <f t="shared" si="1"/>
        <v>1000000</v>
      </c>
      <c r="H10" s="7">
        <v>7000</v>
      </c>
      <c r="I10" s="6">
        <f t="shared" si="2"/>
        <v>700000</v>
      </c>
      <c r="J10" s="7">
        <v>500</v>
      </c>
      <c r="K10" s="6">
        <f>J10*E10</f>
        <v>50000</v>
      </c>
      <c r="L10" s="8">
        <f t="shared" si="3"/>
        <v>17500</v>
      </c>
      <c r="M10" s="6">
        <f t="shared" si="0"/>
        <v>1750000</v>
      </c>
      <c r="N10" s="5"/>
    </row>
    <row r="11" spans="1:18" ht="17.25" customHeight="1">
      <c r="A11" s="1"/>
      <c r="B11" s="11" t="s">
        <v>42</v>
      </c>
      <c r="C11" s="10"/>
      <c r="D11" s="5" t="s">
        <v>36</v>
      </c>
      <c r="E11" s="6">
        <v>100</v>
      </c>
      <c r="F11" s="7">
        <v>1300</v>
      </c>
      <c r="G11" s="6">
        <f t="shared" si="1"/>
        <v>130000</v>
      </c>
      <c r="H11" s="7">
        <v>1700</v>
      </c>
      <c r="I11" s="6">
        <f t="shared" si="2"/>
        <v>170000</v>
      </c>
      <c r="J11" s="7"/>
      <c r="K11" s="7"/>
      <c r="L11" s="8">
        <f t="shared" si="3"/>
        <v>3000</v>
      </c>
      <c r="M11" s="6">
        <f t="shared" si="0"/>
        <v>300000</v>
      </c>
      <c r="N11" s="5"/>
    </row>
    <row r="12" spans="1:18" ht="30" customHeight="1">
      <c r="A12" s="1"/>
      <c r="B12" s="9" t="s">
        <v>43</v>
      </c>
      <c r="C12" s="10" t="s">
        <v>44</v>
      </c>
      <c r="D12" s="5" t="s">
        <v>36</v>
      </c>
      <c r="E12" s="6">
        <v>100</v>
      </c>
      <c r="F12" s="7">
        <v>7500</v>
      </c>
      <c r="G12" s="6">
        <f t="shared" si="1"/>
        <v>750000</v>
      </c>
      <c r="H12" s="7">
        <v>4500</v>
      </c>
      <c r="I12" s="6">
        <f t="shared" si="2"/>
        <v>450000</v>
      </c>
      <c r="J12" s="7">
        <v>500</v>
      </c>
      <c r="K12" s="6">
        <f t="shared" ref="K12:K13" si="4">J12*E12</f>
        <v>50000</v>
      </c>
      <c r="L12" s="8">
        <f t="shared" si="3"/>
        <v>12500</v>
      </c>
      <c r="M12" s="6">
        <f t="shared" si="0"/>
        <v>1250000</v>
      </c>
      <c r="N12" s="5"/>
    </row>
    <row r="13" spans="1:18" ht="30" customHeight="1">
      <c r="B13" s="9" t="s">
        <v>45</v>
      </c>
      <c r="C13" s="10" t="s">
        <v>46</v>
      </c>
      <c r="D13" s="5" t="s">
        <v>36</v>
      </c>
      <c r="E13" s="6"/>
      <c r="F13" s="7">
        <v>5000</v>
      </c>
      <c r="G13" s="6">
        <f t="shared" si="1"/>
        <v>0</v>
      </c>
      <c r="H13" s="7">
        <v>4300</v>
      </c>
      <c r="I13" s="6">
        <f t="shared" si="2"/>
        <v>0</v>
      </c>
      <c r="J13" s="7">
        <v>500</v>
      </c>
      <c r="K13" s="6">
        <f t="shared" si="4"/>
        <v>0</v>
      </c>
      <c r="L13" s="8">
        <f t="shared" si="3"/>
        <v>9800</v>
      </c>
      <c r="M13" s="6">
        <f t="shared" si="0"/>
        <v>0</v>
      </c>
      <c r="N13" s="5"/>
    </row>
    <row r="14" spans="1:18" ht="30" customHeight="1">
      <c r="B14" s="9" t="s">
        <v>47</v>
      </c>
      <c r="C14" s="10" t="s">
        <v>48</v>
      </c>
      <c r="D14" s="5" t="s">
        <v>36</v>
      </c>
      <c r="E14" s="6">
        <v>100</v>
      </c>
      <c r="F14" s="7">
        <v>2200</v>
      </c>
      <c r="G14" s="6">
        <f t="shared" si="1"/>
        <v>220000</v>
      </c>
      <c r="H14" s="7">
        <v>1800</v>
      </c>
      <c r="I14" s="6">
        <f t="shared" si="2"/>
        <v>180000</v>
      </c>
      <c r="J14" s="7"/>
      <c r="K14" s="7"/>
      <c r="L14" s="8">
        <f t="shared" si="3"/>
        <v>4000</v>
      </c>
      <c r="M14" s="6">
        <f t="shared" si="0"/>
        <v>400000</v>
      </c>
      <c r="N14" s="5"/>
    </row>
    <row r="15" spans="1:18" ht="30" customHeight="1">
      <c r="B15" s="9" t="s">
        <v>49</v>
      </c>
      <c r="C15" s="10"/>
      <c r="D15" s="5" t="s">
        <v>50</v>
      </c>
      <c r="E15" s="6">
        <v>1</v>
      </c>
      <c r="F15" s="6"/>
      <c r="G15" s="6"/>
      <c r="H15" s="6"/>
      <c r="I15" s="6"/>
      <c r="J15" s="6"/>
      <c r="K15" s="6">
        <v>120000</v>
      </c>
      <c r="L15" s="8">
        <f t="shared" ref="L15:L17" si="5">SUM(K15+I15+G15)</f>
        <v>120000</v>
      </c>
      <c r="M15" s="6">
        <f t="shared" si="0"/>
        <v>120000</v>
      </c>
      <c r="N15" s="5"/>
    </row>
    <row r="16" spans="1:18" ht="30" customHeight="1">
      <c r="B16" s="9" t="s">
        <v>51</v>
      </c>
      <c r="C16" s="10"/>
      <c r="D16" s="5" t="s">
        <v>52</v>
      </c>
      <c r="E16" s="6">
        <v>1</v>
      </c>
      <c r="F16" s="6"/>
      <c r="G16" s="6"/>
      <c r="H16" s="6"/>
      <c r="I16" s="6"/>
      <c r="J16" s="6"/>
      <c r="K16" s="6"/>
      <c r="L16" s="8">
        <f t="shared" si="5"/>
        <v>0</v>
      </c>
      <c r="M16" s="6">
        <f t="shared" si="0"/>
        <v>0</v>
      </c>
      <c r="N16" s="5"/>
    </row>
    <row r="17" spans="2:14" ht="30" customHeight="1">
      <c r="B17" s="9" t="s">
        <v>53</v>
      </c>
      <c r="C17" s="10"/>
      <c r="D17" s="5" t="s">
        <v>54</v>
      </c>
      <c r="E17" s="6">
        <v>1</v>
      </c>
      <c r="F17" s="6"/>
      <c r="G17" s="6"/>
      <c r="H17" s="6"/>
      <c r="I17" s="6"/>
      <c r="J17" s="6"/>
      <c r="K17" s="6"/>
      <c r="L17" s="8">
        <f t="shared" si="5"/>
        <v>0</v>
      </c>
      <c r="M17" s="6">
        <f t="shared" si="0"/>
        <v>0</v>
      </c>
      <c r="N17" s="5"/>
    </row>
    <row r="18" spans="2:14" ht="30" customHeight="1">
      <c r="B18" s="12" t="s">
        <v>55</v>
      </c>
      <c r="C18" s="13"/>
      <c r="D18" s="14"/>
      <c r="E18" s="15"/>
      <c r="F18" s="15"/>
      <c r="G18" s="16">
        <f>SUM(G7:G17)</f>
        <v>2220000</v>
      </c>
      <c r="H18" s="17"/>
      <c r="I18" s="16">
        <f>SUM(I7:I17)</f>
        <v>1780000</v>
      </c>
      <c r="J18" s="15"/>
      <c r="K18" s="16">
        <f>SUM(K7:K17)</f>
        <v>220000</v>
      </c>
      <c r="L18" s="15"/>
      <c r="M18" s="15">
        <f>SUM(M7:M17)</f>
        <v>4220000</v>
      </c>
      <c r="N18" s="18"/>
    </row>
    <row r="19" spans="2:14" ht="17.25" customHeight="1">
      <c r="B19" s="19" t="s">
        <v>56</v>
      </c>
      <c r="C19" s="10"/>
      <c r="D19" s="5" t="s">
        <v>57</v>
      </c>
      <c r="E19" s="6">
        <v>3</v>
      </c>
      <c r="F19" s="6"/>
      <c r="G19" s="6"/>
      <c r="H19" s="6"/>
      <c r="I19" s="6"/>
      <c r="J19" s="6"/>
      <c r="K19" s="6"/>
      <c r="L19" s="8"/>
      <c r="M19" s="6">
        <f>M18*0.03</f>
        <v>126600</v>
      </c>
      <c r="N19" s="5"/>
    </row>
    <row r="20" spans="2:14" ht="30" customHeight="1">
      <c r="B20" s="2" t="s">
        <v>58</v>
      </c>
      <c r="C20" s="10"/>
      <c r="D20" s="5" t="s">
        <v>57</v>
      </c>
      <c r="E20" s="6">
        <v>6</v>
      </c>
      <c r="F20" s="6"/>
      <c r="G20" s="6"/>
      <c r="H20" s="6"/>
      <c r="I20" s="6"/>
      <c r="J20" s="6"/>
      <c r="K20" s="6"/>
      <c r="L20" s="8"/>
      <c r="M20" s="6">
        <f>M18*0.06</f>
        <v>253200</v>
      </c>
      <c r="N20" s="5"/>
    </row>
    <row r="21" spans="2:14" ht="30" customHeight="1">
      <c r="B21" s="20" t="s">
        <v>59</v>
      </c>
      <c r="C21" s="21"/>
      <c r="D21" s="18"/>
      <c r="E21" s="18"/>
      <c r="F21" s="22"/>
      <c r="G21" s="16"/>
      <c r="H21" s="18"/>
      <c r="I21" s="16"/>
      <c r="J21" s="18"/>
      <c r="K21" s="16"/>
      <c r="L21" s="18"/>
      <c r="M21" s="16">
        <f>SUM(M18:M20)</f>
        <v>4599800</v>
      </c>
      <c r="N21" s="18"/>
    </row>
    <row r="22" spans="2:14" ht="30" customHeight="1">
      <c r="B22" s="23" t="s">
        <v>60</v>
      </c>
      <c r="C22" s="24"/>
      <c r="D22" s="18"/>
      <c r="E22" s="18"/>
      <c r="F22" s="22"/>
      <c r="G22" s="18"/>
      <c r="H22" s="18"/>
      <c r="I22" s="18"/>
      <c r="J22" s="18"/>
      <c r="K22" s="18"/>
      <c r="L22" s="18"/>
      <c r="M22" s="25">
        <f>FLOOR(M21, 100000)</f>
        <v>4500000</v>
      </c>
      <c r="N22" s="26" t="s">
        <v>61</v>
      </c>
    </row>
    <row r="23" spans="2:14" ht="27" customHeight="1"/>
    <row r="24" spans="2:14" ht="17.25" customHeight="1"/>
    <row r="25" spans="2:14" ht="27.75" customHeight="1"/>
    <row r="26" spans="2:14" ht="24" customHeight="1"/>
    <row r="27" spans="2:14" ht="25.5" customHeight="1"/>
    <row r="28" spans="2:14" ht="17.25" customHeight="1"/>
    <row r="29" spans="2:14" ht="24" customHeight="1"/>
    <row r="30" spans="2:14" ht="17.25" customHeight="1"/>
    <row r="31" spans="2:14" ht="17.25" customHeight="1"/>
    <row r="32" spans="2:14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</sheetData>
  <mergeCells count="5">
    <mergeCell ref="F5:G5"/>
    <mergeCell ref="H5:I5"/>
    <mergeCell ref="J5:K5"/>
    <mergeCell ref="L5:M5"/>
    <mergeCell ref="C3:N3"/>
  </mergeCells>
  <phoneticPr fontId="18" type="noConversion"/>
  <pageMargins left="0.7" right="0.7" top="0.75" bottom="0.75" header="0" footer="0"/>
  <pageSetup paperSize="9" scale="7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546875" defaultRowHeight="15" customHeight="1"/>
  <cols>
    <col min="1" max="26" width="7.5546875" customWidth="1"/>
  </cols>
  <sheetData>
    <row r="1" spans="1:1" ht="17.25" customHeight="1">
      <c r="A1" s="27">
        <v>202504</v>
      </c>
    </row>
    <row r="2" spans="1:1" ht="17.25" customHeight="1">
      <c r="A2" s="27">
        <v>1</v>
      </c>
    </row>
    <row r="3" spans="1:1" ht="17.25" customHeight="1"/>
    <row r="4" spans="1:1" ht="17.25" customHeight="1"/>
    <row r="5" spans="1:1" ht="17.25" customHeight="1"/>
    <row r="6" spans="1:1" ht="17.25" customHeight="1"/>
    <row r="7" spans="1:1" ht="17.25" customHeight="1"/>
    <row r="8" spans="1:1" ht="17.25" customHeight="1"/>
    <row r="9" spans="1:1" ht="17.25" customHeight="1"/>
    <row r="10" spans="1:1" ht="17.25" customHeight="1"/>
    <row r="11" spans="1:1" ht="17.25" customHeight="1"/>
    <row r="12" spans="1:1" ht="17.25" customHeight="1"/>
    <row r="13" spans="1:1" ht="17.25" customHeight="1"/>
    <row r="14" spans="1:1" ht="17.25" customHeight="1"/>
    <row r="15" spans="1:1" ht="17.25" customHeight="1"/>
    <row r="16" spans="1:1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1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 (2)</vt:lpstr>
      <vt:lpstr>Sheet2</vt:lpstr>
      <vt:lpstr>Config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박민우</dc:creator>
  <cp:lastModifiedBy>gksdnwjd222@gmail.com</cp:lastModifiedBy>
  <dcterms:created xsi:type="dcterms:W3CDTF">2025-04-06T12:41:57Z</dcterms:created>
  <dcterms:modified xsi:type="dcterms:W3CDTF">2026-03-09T03:07:27Z</dcterms:modified>
</cp:coreProperties>
</file>