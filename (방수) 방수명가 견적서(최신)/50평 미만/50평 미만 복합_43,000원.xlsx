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67" documentId="8_{4E8F2D63-6CB3-4CB7-9DCB-0C8E825CFBAE}" xr6:coauthVersionLast="47" xr6:coauthVersionMax="47" xr10:uidLastSave="{3F373AE4-7F07-49B2-B73B-ADF244157DBB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M17" i="3"/>
  <c r="L17" i="3"/>
  <c r="M16" i="3"/>
  <c r="L16" i="3"/>
  <c r="M8" i="3"/>
  <c r="L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M7" i="3" s="1"/>
  <c r="G7" i="3"/>
  <c r="K18" i="3" l="1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<sst xmlns="http://schemas.openxmlformats.org/spreadsheetml/2006/main" count="90" uniqueCount="70">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</sst>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5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25" fillId="0" borderId="0"/>
  </cellStyleXfs>
  <cellXfs count="144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2" fillId="0" borderId="23" xfId="0" applyFont="1" applyBorder="1"/>
    <xf numFmtId="0" fontId="12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0" fillId="7" borderId="33" xfId="1" applyFont="1" applyFill="1" applyBorder="1" applyAlignment="1">
      <alignment vertical="center"/>
    </xf>
    <xf numFmtId="0" fontId="10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2" fillId="0" borderId="37" xfId="1" applyFont="1" applyBorder="1"/>
    <xf numFmtId="0" fontId="12" fillId="0" borderId="38" xfId="1" applyFont="1" applyBorder="1"/>
    <xf numFmtId="0" fontId="12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2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2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2" fillId="0" borderId="26" xfId="1" applyFont="1" applyBorder="1"/>
    <xf numFmtId="0" fontId="12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2" fillId="0" borderId="20" xfId="1" applyFont="1" applyBorder="1"/>
    <xf numFmtId="0" fontId="6" fillId="0" borderId="0" xfId="1" applyFont="1"/>
    <xf numFmtId="0" fontId="12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2" fillId="0" borderId="29" xfId="1" applyFont="1" applyBorder="1"/>
    <xf numFmtId="0" fontId="12" fillId="0" borderId="30" xfId="1" applyFont="1" applyBorder="1"/>
    <xf numFmtId="0" fontId="12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4375108-FEBC-4B95-BC6F-33DCDB255993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2483E5EE-9485-44B1-A79B-27940B1BABB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68BE430E-B500-4FB8-8056-6F4764869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4" name="그림 3">
          <a:extLst>
            <a:ext uri="{FF2B5EF4-FFF2-40B4-BE49-F238E27FC236}">
              <a16:creationId xmlns:a16="http://schemas.microsoft.com/office/drawing/2014/main" id="{BE5AABFB-6E84-4A00-9D0A-AC551562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E239-2E0C-4A9C-887F-70B7B2A48F24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1" max="1" width="9.09765625" style="37"/>
    <col min="2" max="2" width="11.19921875" style="37" bestFit="1" customWidth="1"/>
    <col min="3" max="3" width="1" style="37" customWidth="1"/>
    <col min="4" max="4" width="4.09765625" style="37" customWidth="1"/>
    <col min="5" max="5" width="35.796875" style="37" customWidth="1"/>
    <col min="6" max="6" width="3" style="37" hidden="1" customWidth="1"/>
    <col min="7" max="7" width="6.8984375" style="37" customWidth="1"/>
    <col min="8" max="8" width="14.19921875" style="37" bestFit="1" customWidth="1"/>
    <col min="9" max="9" width="1" style="37" customWidth="1"/>
    <col min="10" max="10" width="16.09765625" style="37" customWidth="1"/>
    <col min="11" max="11" width="9.765625E-2" style="37" customWidth="1"/>
    <col min="12" max="12" width="13.09765625" style="37" customWidth="1"/>
    <col min="13" max="13" width="1" style="132" customWidth="1"/>
    <col min="14" max="14" width="25.19921875" style="37" customWidth="1"/>
    <col min="15" max="15" width="7" style="37" customWidth="1"/>
    <col min="16" max="16" width="1" style="37" customWidth="1"/>
    <col min="17" max="17" width="9.09765625" style="37"/>
    <col min="18" max="18" width="3.69921875" style="37" customWidth="1"/>
    <col min="19" max="16384" width="9.09765625" style="37"/>
  </cols>
  <sheetData>
    <row r="1" spans="1:41" ht="21.75" customHeight="1">
      <c r="A1" s="35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</row>
    <row r="2" spans="1:4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</row>
    <row r="3" spans="1:41" ht="15" customHeight="1">
      <c r="A3" s="35"/>
      <c r="B3" s="35"/>
      <c r="C3" s="35"/>
      <c r="D3" s="35"/>
      <c r="E3" s="35"/>
      <c r="F3" s="35"/>
      <c r="G3" s="35"/>
      <c r="H3" s="38"/>
      <c r="I3" s="38"/>
      <c r="J3" s="38"/>
      <c r="K3" s="38"/>
      <c r="L3" s="35"/>
      <c r="M3" s="39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</row>
    <row r="4" spans="1:41" ht="16.5" customHeight="1">
      <c r="A4" s="40"/>
      <c r="B4" s="40"/>
      <c r="C4" s="40"/>
      <c r="D4" s="40"/>
      <c r="E4" s="40"/>
      <c r="F4" s="35"/>
      <c r="G4" s="41"/>
      <c r="H4" s="41"/>
      <c r="I4" s="41"/>
      <c r="J4" s="41"/>
      <c r="K4" s="41"/>
      <c r="L4" s="41"/>
      <c r="M4" s="42"/>
      <c r="N4" s="41"/>
      <c r="O4" s="41"/>
      <c r="P4" s="41"/>
      <c r="Q4" s="41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41" ht="21" customHeight="1" thickBot="1">
      <c r="A5" s="40"/>
      <c r="B5" s="43"/>
      <c r="C5" s="43"/>
      <c r="D5" s="43"/>
      <c r="E5" s="43"/>
      <c r="F5" s="39"/>
      <c r="G5" s="42"/>
      <c r="H5" s="44" t="s">
        <v>1</v>
      </c>
      <c r="I5" s="44"/>
      <c r="J5" s="45"/>
      <c r="K5" s="45"/>
      <c r="L5" s="45"/>
      <c r="M5" s="44"/>
      <c r="N5" s="45"/>
      <c r="O5" s="45"/>
      <c r="P5" s="45"/>
      <c r="Q5" s="4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spans="1:41" ht="27" customHeight="1" thickTop="1">
      <c r="B6" s="46" t="s">
        <v>2</v>
      </c>
      <c r="C6" s="47"/>
      <c r="D6" s="48">
        <v>26030901</v>
      </c>
      <c r="E6" s="48"/>
      <c r="F6" s="48"/>
      <c r="G6" s="49"/>
      <c r="H6" s="50" t="s">
        <v>3</v>
      </c>
      <c r="I6" s="51"/>
      <c r="J6" s="52" t="s">
        <v>4</v>
      </c>
      <c r="K6" s="52"/>
      <c r="L6" s="50" t="s">
        <v>5</v>
      </c>
      <c r="M6" s="51"/>
      <c r="N6" s="53" t="s">
        <v>6</v>
      </c>
      <c r="O6" s="50" t="s">
        <v>7</v>
      </c>
      <c r="P6" s="51"/>
      <c r="Q6" s="52" t="s">
        <v>8</v>
      </c>
      <c r="R6" s="52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spans="1:41" ht="26.25" customHeight="1">
      <c r="A7" s="40"/>
      <c r="B7" s="54" t="s">
        <v>9</v>
      </c>
      <c r="C7" s="55"/>
      <c r="D7" s="56">
        <v>46090</v>
      </c>
      <c r="E7" s="56"/>
      <c r="F7" s="57"/>
      <c r="G7" s="49"/>
      <c r="H7" s="58" t="s">
        <v>10</v>
      </c>
      <c r="I7" s="59"/>
      <c r="J7" s="60" t="s">
        <v>11</v>
      </c>
      <c r="K7" s="60"/>
      <c r="L7" s="58" t="s">
        <v>12</v>
      </c>
      <c r="M7" s="59"/>
      <c r="N7" s="61" t="s">
        <v>13</v>
      </c>
      <c r="O7" s="61"/>
      <c r="P7" s="61"/>
      <c r="Q7" s="61"/>
      <c r="R7" s="61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spans="1:41" ht="26.25" customHeight="1">
      <c r="A8" s="40"/>
      <c r="B8" s="54" t="s">
        <v>14</v>
      </c>
      <c r="C8" s="55"/>
      <c r="D8" s="62" t="s">
        <v>59</v>
      </c>
      <c r="E8" s="63"/>
      <c r="F8" s="64"/>
      <c r="G8" s="49"/>
      <c r="H8" s="58" t="s">
        <v>15</v>
      </c>
      <c r="I8" s="59"/>
      <c r="J8" s="60" t="s">
        <v>66</v>
      </c>
      <c r="K8" s="65"/>
      <c r="L8" s="58" t="s">
        <v>16</v>
      </c>
      <c r="M8" s="59"/>
      <c r="N8" s="61" t="s">
        <v>17</v>
      </c>
      <c r="O8" s="61"/>
      <c r="P8" s="61"/>
      <c r="Q8" s="61"/>
      <c r="R8" s="61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spans="1:41" ht="27.75" customHeight="1">
      <c r="A9" s="40"/>
      <c r="B9" s="66" t="s">
        <v>18</v>
      </c>
      <c r="C9" s="55"/>
      <c r="D9" s="67" t="s">
        <v>19</v>
      </c>
      <c r="E9" s="67"/>
      <c r="F9" s="67"/>
      <c r="G9" s="49"/>
      <c r="H9" s="68" t="s">
        <v>20</v>
      </c>
      <c r="I9" s="69"/>
      <c r="J9" s="70" t="s">
        <v>67</v>
      </c>
      <c r="K9" s="71"/>
      <c r="L9" s="71"/>
      <c r="M9" s="71"/>
      <c r="N9" s="71"/>
      <c r="O9" s="71"/>
      <c r="P9" s="71"/>
      <c r="Q9" s="71"/>
      <c r="R9" s="71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spans="1:41" ht="18" thickBot="1">
      <c r="A10" s="40"/>
      <c r="B10" s="72"/>
      <c r="C10" s="72"/>
      <c r="D10" s="72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 spans="1:41" ht="50.25" customHeight="1" thickTop="1">
      <c r="A11" s="40"/>
      <c r="B11" s="74" t="s">
        <v>21</v>
      </c>
      <c r="C11" s="74"/>
      <c r="D11" s="74"/>
      <c r="E11" s="75" t="str">
        <f>"일금 "&amp;NUMBERSTRING(K18,1)&amp;" 원정"&amp;TEXT(K18,"(₩#,###)")</f>
        <v>일금 사백팔십만 원정(₩4,800,000)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spans="1:41" ht="18" thickBot="1">
      <c r="A12" s="35"/>
      <c r="B12" s="76"/>
      <c r="C12" s="76"/>
      <c r="D12" s="76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 spans="1:41" ht="29.25" customHeight="1" thickTop="1">
      <c r="A13" s="35"/>
      <c r="B13" s="78" t="s">
        <v>22</v>
      </c>
      <c r="C13" s="79"/>
      <c r="D13" s="79"/>
      <c r="E13" s="80"/>
      <c r="F13" s="81" t="s">
        <v>23</v>
      </c>
      <c r="G13" s="80"/>
      <c r="H13" s="82" t="s">
        <v>24</v>
      </c>
      <c r="I13" s="83" t="s">
        <v>25</v>
      </c>
      <c r="J13" s="84"/>
      <c r="K13" s="85" t="s">
        <v>26</v>
      </c>
      <c r="L13" s="85"/>
      <c r="M13" s="85"/>
      <c r="N13" s="86"/>
      <c r="O13" s="85" t="s">
        <v>27</v>
      </c>
      <c r="P13" s="85"/>
      <c r="Q13" s="85"/>
      <c r="R13" s="85"/>
      <c r="S13" s="87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</row>
    <row r="14" spans="1:41" ht="28.5" customHeight="1">
      <c r="A14" s="35"/>
      <c r="B14" s="32" t="str">
        <f>Sheet2!C3</f>
        <v>옥상 이중복합방수 3.8mm (제 1안)</v>
      </c>
      <c r="C14" s="30"/>
      <c r="D14" s="30"/>
      <c r="E14" s="31"/>
      <c r="F14" s="88" t="s">
        <v>28</v>
      </c>
      <c r="G14" s="89"/>
      <c r="H14" s="90">
        <v>1</v>
      </c>
      <c r="I14" s="91"/>
      <c r="J14" s="92"/>
      <c r="K14" s="33">
        <f>Sheet2!M21</f>
        <v>4817800</v>
      </c>
      <c r="L14" s="30"/>
      <c r="M14" s="30"/>
      <c r="N14" s="31"/>
      <c r="O14" s="93"/>
      <c r="P14" s="94"/>
      <c r="Q14" s="94"/>
      <c r="R14" s="95"/>
      <c r="S14" s="87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</row>
    <row r="15" spans="1:41" ht="25.5" customHeight="1">
      <c r="A15" s="35"/>
      <c r="B15" s="96"/>
      <c r="C15" s="97"/>
      <c r="D15" s="97"/>
      <c r="E15" s="98"/>
      <c r="F15" s="99"/>
      <c r="G15" s="99"/>
      <c r="H15" s="100"/>
      <c r="I15" s="101"/>
      <c r="J15" s="99"/>
      <c r="K15" s="102"/>
      <c r="L15" s="103"/>
      <c r="M15" s="103"/>
      <c r="N15" s="89"/>
      <c r="O15" s="104"/>
      <c r="P15" s="105"/>
      <c r="Q15" s="105"/>
      <c r="R15" s="106"/>
      <c r="S15" s="87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</row>
    <row r="16" spans="1:41" ht="25.5" customHeight="1">
      <c r="A16" s="35"/>
      <c r="B16" s="104"/>
      <c r="C16" s="105"/>
      <c r="D16" s="105"/>
      <c r="E16" s="106"/>
      <c r="F16" s="104"/>
      <c r="G16" s="106"/>
      <c r="H16" s="100"/>
      <c r="I16" s="104"/>
      <c r="J16" s="106"/>
      <c r="K16" s="102"/>
      <c r="L16" s="103"/>
      <c r="M16" s="103"/>
      <c r="N16" s="89"/>
      <c r="O16" s="104"/>
      <c r="P16" s="105"/>
      <c r="Q16" s="105"/>
      <c r="R16" s="106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</row>
    <row r="17" spans="1:41" ht="25.5" customHeight="1">
      <c r="A17" s="35"/>
      <c r="B17" s="104"/>
      <c r="C17" s="105"/>
      <c r="D17" s="105"/>
      <c r="E17" s="107"/>
      <c r="F17" s="99"/>
      <c r="G17" s="99"/>
      <c r="H17" s="100"/>
      <c r="I17" s="101"/>
      <c r="J17" s="99"/>
      <c r="K17" s="102"/>
      <c r="L17" s="103"/>
      <c r="M17" s="103"/>
      <c r="N17" s="89"/>
      <c r="O17" s="104"/>
      <c r="P17" s="105"/>
      <c r="Q17" s="105"/>
      <c r="R17" s="106"/>
      <c r="S17" s="87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</row>
    <row r="18" spans="1:41" ht="27" customHeight="1">
      <c r="A18" s="35"/>
      <c r="B18" s="108" t="s">
        <v>29</v>
      </c>
      <c r="C18" s="109"/>
      <c r="D18" s="109"/>
      <c r="E18" s="110"/>
      <c r="F18" s="111"/>
      <c r="G18" s="112"/>
      <c r="H18" s="113"/>
      <c r="I18" s="108"/>
      <c r="J18" s="109"/>
      <c r="K18" s="34">
        <f>Sheet2!M22</f>
        <v>4800000</v>
      </c>
      <c r="L18" s="30"/>
      <c r="M18" s="30"/>
      <c r="N18" s="31"/>
      <c r="O18" s="108" t="s">
        <v>38</v>
      </c>
      <c r="P18" s="109"/>
      <c r="Q18" s="109"/>
      <c r="R18" s="109"/>
      <c r="S18" s="87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</row>
    <row r="19" spans="1:41" ht="26.25" customHeight="1">
      <c r="A19" s="35"/>
      <c r="B19" s="114" t="s">
        <v>60</v>
      </c>
      <c r="C19" s="115"/>
      <c r="D19" s="116" t="s">
        <v>61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</row>
    <row r="20" spans="1:41" ht="19.5" customHeight="1">
      <c r="A20" s="35"/>
      <c r="B20" s="119"/>
      <c r="C20" s="120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3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</row>
    <row r="21" spans="1:41" ht="21" customHeight="1">
      <c r="A21" s="35"/>
      <c r="B21" s="119"/>
      <c r="C21" s="120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3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</row>
    <row r="22" spans="1:41">
      <c r="A22" s="35"/>
      <c r="B22" s="124"/>
      <c r="C22" s="125"/>
      <c r="D22" s="126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8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</row>
    <row r="23" spans="1:41">
      <c r="A23" s="35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</row>
    <row r="24" spans="1:41">
      <c r="A24" s="35"/>
      <c r="B24" s="130"/>
      <c r="C24" s="130"/>
      <c r="D24" s="130"/>
      <c r="E24" s="131" t="s">
        <v>69</v>
      </c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</row>
    <row r="25" spans="1:41">
      <c r="A25" s="35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</row>
    <row r="26" spans="1:41">
      <c r="A26" s="35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</row>
    <row r="27" spans="1:41">
      <c r="A27" s="35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</row>
    <row r="28" spans="1:41">
      <c r="A28" s="35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</row>
    <row r="29" spans="1:41">
      <c r="A29" s="35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</row>
    <row r="30" spans="1:41">
      <c r="A30" s="35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</row>
    <row r="31" spans="1:41">
      <c r="A31" s="35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</row>
    <row r="32" spans="1:41">
      <c r="A32" s="35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</row>
    <row r="33" spans="1:41">
      <c r="A33" s="35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</row>
    <row r="34" spans="1:41">
      <c r="A34" s="35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</row>
    <row r="35" spans="1:4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9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</row>
    <row r="36" spans="1:4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9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</row>
    <row r="37" spans="1:4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9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</row>
    <row r="38" spans="1:4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9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</row>
    <row r="39" spans="1:4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9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</row>
    <row r="40" spans="1:4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9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</row>
    <row r="41" spans="1: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9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</row>
    <row r="42" spans="1:4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9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</row>
    <row r="43" spans="1:4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9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</row>
    <row r="44" spans="1:4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9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</row>
    <row r="45" spans="1:4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9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</row>
    <row r="46" spans="1:4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9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</row>
    <row r="47" spans="1:4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9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</row>
    <row r="48" spans="1:4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9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</row>
    <row r="49" spans="1:4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9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</row>
    <row r="50" spans="1:4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9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</row>
    <row r="51" spans="1:4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9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</row>
    <row r="52" spans="1:4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9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</row>
    <row r="53" spans="1:4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9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</row>
    <row r="54" spans="1:4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9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</row>
    <row r="55" spans="1:4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9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</row>
    <row r="56" spans="1:4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9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</row>
    <row r="57" spans="1:4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9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</row>
    <row r="58" spans="1:4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9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</row>
    <row r="59" spans="1:4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9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C6" sqref="C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3" t="s">
        <v>65</v>
      </c>
      <c r="C3" s="27" t="s">
        <v>68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4" t="s">
        <v>22</v>
      </c>
      <c r="C5" s="136" t="s">
        <v>23</v>
      </c>
      <c r="D5" s="136" t="s">
        <v>30</v>
      </c>
      <c r="E5" s="136" t="s">
        <v>24</v>
      </c>
      <c r="F5" s="140" t="s">
        <v>31</v>
      </c>
      <c r="G5" s="141"/>
      <c r="H5" s="140" t="s">
        <v>32</v>
      </c>
      <c r="I5" s="141"/>
      <c r="J5" s="140" t="s">
        <v>33</v>
      </c>
      <c r="K5" s="141"/>
      <c r="L5" s="140" t="s">
        <v>37</v>
      </c>
      <c r="M5" s="141"/>
      <c r="N5" s="139" t="s">
        <v>27</v>
      </c>
    </row>
    <row r="6" spans="1:18" ht="31.35" customHeight="1">
      <c r="A6" s="1"/>
      <c r="B6" s="135"/>
      <c r="C6" s="137"/>
      <c r="D6" s="137"/>
      <c r="E6" s="137"/>
      <c r="F6" s="142" t="s">
        <v>25</v>
      </c>
      <c r="G6" s="137" t="s">
        <v>26</v>
      </c>
      <c r="H6" s="142" t="s">
        <v>25</v>
      </c>
      <c r="I6" s="137" t="s">
        <v>26</v>
      </c>
      <c r="J6" s="142" t="s">
        <v>25</v>
      </c>
      <c r="K6" s="137" t="s">
        <v>26</v>
      </c>
      <c r="L6" s="143" t="s">
        <v>25</v>
      </c>
      <c r="M6" s="143" t="s">
        <v>26</v>
      </c>
      <c r="N6" s="138"/>
      <c r="O6" s="1"/>
      <c r="P6" s="1"/>
      <c r="Q6" s="1"/>
      <c r="R6" s="1"/>
    </row>
    <row r="7" spans="1:18" ht="30" customHeight="1">
      <c r="A7" s="1"/>
      <c r="B7" s="26" t="s">
        <v>62</v>
      </c>
      <c r="C7" s="15"/>
      <c r="D7" s="12" t="s">
        <v>35</v>
      </c>
      <c r="E7" s="3">
        <v>100</v>
      </c>
      <c r="F7" s="4">
        <v>300</v>
      </c>
      <c r="G7" s="3">
        <f>E7*F7</f>
        <v>30000</v>
      </c>
      <c r="H7" s="4">
        <v>1200</v>
      </c>
      <c r="I7" s="3">
        <f>H7*E7</f>
        <v>120000</v>
      </c>
      <c r="J7" s="4"/>
      <c r="K7" s="4"/>
      <c r="L7" s="5">
        <f>J7+H7+F7</f>
        <v>1500</v>
      </c>
      <c r="M7" s="3">
        <f>SUM(K7+I7+G7)</f>
        <v>150000</v>
      </c>
      <c r="N7" s="12"/>
    </row>
    <row r="8" spans="1:18" ht="38.4">
      <c r="A8" s="1"/>
      <c r="B8" s="26" t="s">
        <v>63</v>
      </c>
      <c r="C8" s="15"/>
      <c r="D8" s="12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0" customHeight="1">
      <c r="A9" s="1"/>
      <c r="B9" s="16" t="s">
        <v>39</v>
      </c>
      <c r="C9" s="6"/>
      <c r="D9" s="12" t="s">
        <v>35</v>
      </c>
      <c r="E9" s="3">
        <v>100</v>
      </c>
      <c r="F9" s="4">
        <v>1100</v>
      </c>
      <c r="G9" s="3">
        <f t="shared" ref="G9:G12" si="1">E9*F9</f>
        <v>110000</v>
      </c>
      <c r="H9" s="4">
        <v>1600</v>
      </c>
      <c r="I9" s="3">
        <f t="shared" ref="I9:I12" si="2">H9*E9</f>
        <v>160000</v>
      </c>
      <c r="J9" s="4"/>
      <c r="K9" s="4"/>
      <c r="L9" s="5">
        <f t="shared" ref="L9:L12" si="3">J9+H9+F9</f>
        <v>2700</v>
      </c>
      <c r="M9" s="3">
        <f t="shared" ref="M9:M12" si="4">SUM(K9+I9+G9)</f>
        <v>270000</v>
      </c>
      <c r="N9" s="12"/>
    </row>
    <row r="10" spans="1:18" ht="30" customHeight="1">
      <c r="A10" s="1"/>
      <c r="B10" s="17" t="s">
        <v>40</v>
      </c>
      <c r="C10" s="6" t="s">
        <v>36</v>
      </c>
      <c r="D10" s="12" t="s">
        <v>35</v>
      </c>
      <c r="E10" s="3">
        <v>100</v>
      </c>
      <c r="F10" s="4">
        <v>10800</v>
      </c>
      <c r="G10" s="3">
        <f t="shared" si="1"/>
        <v>1080000</v>
      </c>
      <c r="H10" s="4">
        <v>7500</v>
      </c>
      <c r="I10" s="3">
        <f t="shared" si="2"/>
        <v>750000</v>
      </c>
      <c r="J10" s="4">
        <v>500</v>
      </c>
      <c r="K10" s="3">
        <f>J10*E10</f>
        <v>50000</v>
      </c>
      <c r="L10" s="5">
        <f t="shared" si="3"/>
        <v>18800</v>
      </c>
      <c r="M10" s="3">
        <f t="shared" si="4"/>
        <v>1880000</v>
      </c>
      <c r="N10" s="12"/>
    </row>
    <row r="11" spans="1:18" ht="38.4">
      <c r="A11" s="1"/>
      <c r="B11" s="17" t="s">
        <v>41</v>
      </c>
      <c r="C11" s="6"/>
      <c r="D11" s="12" t="s">
        <v>35</v>
      </c>
      <c r="E11" s="3">
        <v>100</v>
      </c>
      <c r="F11" s="4">
        <v>1500</v>
      </c>
      <c r="G11" s="3">
        <f t="shared" si="1"/>
        <v>150000</v>
      </c>
      <c r="H11" s="4">
        <v>2000</v>
      </c>
      <c r="I11" s="3">
        <f t="shared" si="2"/>
        <v>200000</v>
      </c>
      <c r="J11" s="4"/>
      <c r="K11" s="4"/>
      <c r="L11" s="5">
        <f t="shared" si="3"/>
        <v>3500</v>
      </c>
      <c r="M11" s="3">
        <f t="shared" si="4"/>
        <v>350000</v>
      </c>
      <c r="N11" s="12"/>
    </row>
    <row r="12" spans="1:18" ht="30" customHeight="1">
      <c r="A12" s="1"/>
      <c r="B12" s="16" t="s">
        <v>42</v>
      </c>
      <c r="C12" s="6" t="s">
        <v>43</v>
      </c>
      <c r="D12" s="12" t="s">
        <v>35</v>
      </c>
      <c r="E12" s="3">
        <v>100</v>
      </c>
      <c r="F12" s="4">
        <v>7500</v>
      </c>
      <c r="G12" s="3">
        <f t="shared" si="1"/>
        <v>750000</v>
      </c>
      <c r="H12" s="4">
        <v>4500</v>
      </c>
      <c r="I12" s="3">
        <f t="shared" si="2"/>
        <v>450000</v>
      </c>
      <c r="J12" s="4">
        <v>500</v>
      </c>
      <c r="K12" s="3">
        <f>J12*E12</f>
        <v>50000</v>
      </c>
      <c r="L12" s="5">
        <f t="shared" si="3"/>
        <v>12500</v>
      </c>
      <c r="M12" s="3">
        <f t="shared" si="4"/>
        <v>1250000</v>
      </c>
      <c r="N12" s="12"/>
    </row>
    <row r="13" spans="1:18" ht="30" customHeight="1">
      <c r="B13" s="16" t="s">
        <v>44</v>
      </c>
      <c r="C13" s="6" t="s">
        <v>45</v>
      </c>
      <c r="D13" s="12" t="s">
        <v>35</v>
      </c>
      <c r="E13" s="3"/>
      <c r="F13" s="4">
        <v>5000</v>
      </c>
      <c r="G13" s="3">
        <f t="shared" ref="G13:G14" si="5">E13*F13</f>
        <v>0</v>
      </c>
      <c r="H13" s="4">
        <v>4300</v>
      </c>
      <c r="I13" s="3">
        <f t="shared" ref="I13:I14" si="6">H13*E13</f>
        <v>0</v>
      </c>
      <c r="J13" s="4">
        <v>500</v>
      </c>
      <c r="K13" s="3">
        <f>J13*E13</f>
        <v>0</v>
      </c>
      <c r="L13" s="5">
        <f t="shared" ref="L13:L14" si="7">J13+H13+F13</f>
        <v>9800</v>
      </c>
      <c r="M13" s="3">
        <f t="shared" ref="M13:M15" si="8">SUM(K13+I13+G13)</f>
        <v>0</v>
      </c>
      <c r="N13" s="12"/>
    </row>
    <row r="14" spans="1:18" ht="30" customHeight="1">
      <c r="B14" s="16" t="s">
        <v>46</v>
      </c>
      <c r="C14" s="6" t="s">
        <v>47</v>
      </c>
      <c r="D14" s="12" t="s">
        <v>35</v>
      </c>
      <c r="E14" s="3">
        <v>100</v>
      </c>
      <c r="F14" s="4">
        <v>2200</v>
      </c>
      <c r="G14" s="3">
        <f t="shared" si="5"/>
        <v>220000</v>
      </c>
      <c r="H14" s="4">
        <v>1800</v>
      </c>
      <c r="I14" s="3">
        <f t="shared" si="6"/>
        <v>180000</v>
      </c>
      <c r="J14" s="4"/>
      <c r="K14" s="4"/>
      <c r="L14" s="5">
        <f t="shared" si="7"/>
        <v>4000</v>
      </c>
      <c r="M14" s="3">
        <f t="shared" si="8"/>
        <v>400000</v>
      </c>
      <c r="N14" s="12"/>
    </row>
    <row r="15" spans="1:18" ht="30" customHeight="1">
      <c r="B15" s="16" t="s">
        <v>48</v>
      </c>
      <c r="C15" s="6"/>
      <c r="D15" s="12" t="s">
        <v>49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 t="shared" si="8"/>
        <v>120000</v>
      </c>
      <c r="N15" s="12"/>
    </row>
    <row r="16" spans="1:18" ht="30" customHeight="1">
      <c r="B16" s="16" t="s">
        <v>50</v>
      </c>
      <c r="C16" s="6"/>
      <c r="D16" s="12" t="s">
        <v>51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ref="M16:M17" si="9">SUM(K16+I16+G16)</f>
        <v>0</v>
      </c>
      <c r="N16" s="12"/>
    </row>
    <row r="17" spans="2:14" ht="30" customHeight="1">
      <c r="B17" s="16" t="s">
        <v>52</v>
      </c>
      <c r="C17" s="6"/>
      <c r="D17" s="12" t="s">
        <v>51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 t="shared" si="9"/>
        <v>0</v>
      </c>
      <c r="N17" s="12"/>
    </row>
    <row r="18" spans="2:14" ht="30" customHeight="1">
      <c r="B18" s="18" t="s">
        <v>53</v>
      </c>
      <c r="C18" s="8"/>
      <c r="D18" s="9"/>
      <c r="E18" s="2"/>
      <c r="F18" s="2"/>
      <c r="G18" s="10">
        <f>SUM(G7:G17)</f>
        <v>2340000</v>
      </c>
      <c r="H18" s="19"/>
      <c r="I18" s="10">
        <f>SUM(I7:I17)</f>
        <v>1860000</v>
      </c>
      <c r="J18" s="2"/>
      <c r="K18" s="10">
        <f>SUM(K7:K17)</f>
        <v>220000</v>
      </c>
      <c r="L18" s="2"/>
      <c r="M18" s="2">
        <f>SUM(M7:M17)</f>
        <v>4420000</v>
      </c>
      <c r="N18" s="11"/>
    </row>
    <row r="19" spans="2:14" ht="38.4">
      <c r="B19" s="20" t="s">
        <v>54</v>
      </c>
      <c r="C19" s="6"/>
      <c r="D19" s="12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132600</v>
      </c>
      <c r="N19" s="12"/>
    </row>
    <row r="20" spans="2:14" ht="30" customHeight="1">
      <c r="B20" s="7" t="s">
        <v>55</v>
      </c>
      <c r="C20" s="6"/>
      <c r="D20" s="12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265200</v>
      </c>
      <c r="N20" s="12"/>
    </row>
    <row r="21" spans="2:14" ht="30" customHeight="1">
      <c r="B21" s="21" t="s">
        <v>56</v>
      </c>
      <c r="C21" s="22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4817800</v>
      </c>
      <c r="N21" s="11"/>
    </row>
    <row r="22" spans="2:14" ht="30" customHeight="1">
      <c r="B22" s="23" t="s">
        <v>57</v>
      </c>
      <c r="C22" s="24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4800000</v>
      </c>
      <c r="N22" s="25" t="s">
        <v>58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2026-03-09T03:10:22Z</cp:lastPrinted>
  <dcterms:created xsi:type="dcterms:W3CDTF">2025-04-06T12:41:57Z</dcterms:created>
  <dcterms:modified xsi:type="dcterms:W3CDTF">2026-03-09T04:08:18Z</dcterms:modified>
  <cp:category/>
  <cp:contentStatus/>
</cp:coreProperties>
</file>